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SO Proceeded against" sheetId="2" r:id="rId5"/>
    <sheet state="visible" name="Data" sheetId="3" r:id="rId6"/>
    <sheet state="visible" name="Top 10" sheetId="4" r:id="rId7"/>
  </sheets>
  <definedNames/>
  <calcPr/>
  <extLst>
    <ext uri="GoogleSheetsCustomDataVersion2">
      <go:sheetsCustomData xmlns:go="http://customooxmlschemas.google.com/" r:id="rId8" roundtripDataChecksum="2tnl88Nj+h4kZ4aPtUSPNnqdNcrHqdU1RqdTWhfhKtk="/>
    </ext>
  </extLst>
</workbook>
</file>

<file path=xl/sharedStrings.xml><?xml version="1.0" encoding="utf-8"?>
<sst xmlns="http://schemas.openxmlformats.org/spreadsheetml/2006/main" count="206" uniqueCount="194">
  <si>
    <t>Data taken from NSPIS and CONNECT Custody systems on 1/7/25 via DataMart</t>
  </si>
  <si>
    <t>Dates</t>
  </si>
  <si>
    <t>Arrest Dates</t>
  </si>
  <si>
    <t>1/1/2018 - 31/12/24</t>
  </si>
  <si>
    <t>Data extracted is based on the arrest date.</t>
  </si>
  <si>
    <t>Persons Proceeded Against</t>
  </si>
  <si>
    <t>The following have been counted as 'Persons Proceeded Against' for each of the requested offence groups:</t>
  </si>
  <si>
    <t/>
  </si>
  <si>
    <t>The data was limited to a distinct count of custody records where the detainee had received at least one charge or out of court disposal for a relevant offence.</t>
  </si>
  <si>
    <t>Charges</t>
  </si>
  <si>
    <t>The following were found in the data set and counted as charged data:</t>
  </si>
  <si>
    <t>Charge</t>
  </si>
  <si>
    <t>Charged and Bailed To Court</t>
  </si>
  <si>
    <t>Charged and Detained For Court</t>
  </si>
  <si>
    <t>To Court (Postal Requisitions)</t>
  </si>
  <si>
    <t>Reported for Summons</t>
  </si>
  <si>
    <t>Out Of Court Disposal</t>
  </si>
  <si>
    <t>The following were found in the data set and counted as an out of court disposal:</t>
  </si>
  <si>
    <t>Simple Caution</t>
  </si>
  <si>
    <t>Conditional Caution</t>
  </si>
  <si>
    <t>Adult Conditional Caution</t>
  </si>
  <si>
    <t>Simple Adult Caution</t>
  </si>
  <si>
    <t>Simple Youth Caution</t>
  </si>
  <si>
    <t>Youth Conditional Caution</t>
  </si>
  <si>
    <t>Community Resolution</t>
  </si>
  <si>
    <t>Fixed Penalty Notice Issue</t>
  </si>
  <si>
    <t>Reprimand</t>
  </si>
  <si>
    <t>Penalty Notice for Disorder</t>
  </si>
  <si>
    <t>MHA Diversion</t>
  </si>
  <si>
    <t>[ see Notes ]</t>
  </si>
  <si>
    <t>Sexual Offences' - Persons Proceeded Against by Nationality 2018 - 2024</t>
  </si>
  <si>
    <t>As requested,  values of under 5 (excluding 0) have been shown in the table as '&lt;5'</t>
  </si>
  <si>
    <t>Arrest Year</t>
  </si>
  <si>
    <t>Nationality</t>
  </si>
  <si>
    <t>Grand Total</t>
  </si>
  <si>
    <t>Population</t>
  </si>
  <si>
    <t>Prosecutions per 10,000</t>
  </si>
  <si>
    <t>Afghanistan</t>
  </si>
  <si>
    <t>Albania</t>
  </si>
  <si>
    <t>Algeria</t>
  </si>
  <si>
    <t>American Samoa</t>
  </si>
  <si>
    <t>Angola</t>
  </si>
  <si>
    <t>Antigua and Barbuda</t>
  </si>
  <si>
    <t>Armenia</t>
  </si>
  <si>
    <t>Australia</t>
  </si>
  <si>
    <t>Austrian</t>
  </si>
  <si>
    <t>Azerbaijan</t>
  </si>
  <si>
    <t>Bangladesh</t>
  </si>
  <si>
    <t>Barbados</t>
  </si>
  <si>
    <t>Belgium</t>
  </si>
  <si>
    <t>Benin</t>
  </si>
  <si>
    <t>Bermuda</t>
  </si>
  <si>
    <t>Bolivia</t>
  </si>
  <si>
    <t>Bosnian</t>
  </si>
  <si>
    <t>Brazil</t>
  </si>
  <si>
    <t>British</t>
  </si>
  <si>
    <t>Bulgaria</t>
  </si>
  <si>
    <t>Burmese</t>
  </si>
  <si>
    <t>Cameroon</t>
  </si>
  <si>
    <t>Canada</t>
  </si>
  <si>
    <t>Cape Verde</t>
  </si>
  <si>
    <t>Central African</t>
  </si>
  <si>
    <t>Chad</t>
  </si>
  <si>
    <t>China (People's Rep. of)</t>
  </si>
  <si>
    <t>Colombia</t>
  </si>
  <si>
    <t>Congo</t>
  </si>
  <si>
    <t>Croatia</t>
  </si>
  <si>
    <t>Cuba</t>
  </si>
  <si>
    <t>Cyprus</t>
  </si>
  <si>
    <t>Czech Republic</t>
  </si>
  <si>
    <t>Denmark</t>
  </si>
  <si>
    <t>Dominica</t>
  </si>
  <si>
    <t>Dominican (Republic)</t>
  </si>
  <si>
    <t>Ecuador</t>
  </si>
  <si>
    <t>Egypt</t>
  </si>
  <si>
    <t>El Salvador</t>
  </si>
  <si>
    <t>England</t>
  </si>
  <si>
    <t>Equatorial Guinean</t>
  </si>
  <si>
    <t>Eritrea</t>
  </si>
  <si>
    <t>Ethiopia</t>
  </si>
  <si>
    <t>Finland</t>
  </si>
  <si>
    <t>France</t>
  </si>
  <si>
    <t>Gambia</t>
  </si>
  <si>
    <t>Georgia</t>
  </si>
  <si>
    <t>Germany</t>
  </si>
  <si>
    <t>Ghana</t>
  </si>
  <si>
    <t>Greece</t>
  </si>
  <si>
    <t>Grenada</t>
  </si>
  <si>
    <t>Guinea</t>
  </si>
  <si>
    <t>Guyanese</t>
  </si>
  <si>
    <t>Honduran</t>
  </si>
  <si>
    <t>Hungary</t>
  </si>
  <si>
    <t>India</t>
  </si>
  <si>
    <t>Indonesia</t>
  </si>
  <si>
    <t>Iran</t>
  </si>
  <si>
    <t>Iraq</t>
  </si>
  <si>
    <t>Irish</t>
  </si>
  <si>
    <t>Israel</t>
  </si>
  <si>
    <t>Italy</t>
  </si>
  <si>
    <t>Ivory Coast</t>
  </si>
  <si>
    <t>Jamaica</t>
  </si>
  <si>
    <t>Japan</t>
  </si>
  <si>
    <t>Jordan</t>
  </si>
  <si>
    <t>Kazakhstan</t>
  </si>
  <si>
    <t>Kenya</t>
  </si>
  <si>
    <t>Korea, Dem. P. Rep. (North Korea)</t>
  </si>
  <si>
    <t>Korea, Republic of (South Korea)</t>
  </si>
  <si>
    <t>Kosovan</t>
  </si>
  <si>
    <t>Kuwait</t>
  </si>
  <si>
    <t>Laotian</t>
  </si>
  <si>
    <t>Latvia</t>
  </si>
  <si>
    <t>Lebanon</t>
  </si>
  <si>
    <t>Libya</t>
  </si>
  <si>
    <t>Lithuania</t>
  </si>
  <si>
    <t>Malaysia</t>
  </si>
  <si>
    <t>Mauritian</t>
  </si>
  <si>
    <t>Mexico</t>
  </si>
  <si>
    <t>Moldova</t>
  </si>
  <si>
    <t>Mongolia</t>
  </si>
  <si>
    <t>Montenegro</t>
  </si>
  <si>
    <t>Montserrat</t>
  </si>
  <si>
    <t>Moroccan</t>
  </si>
  <si>
    <t>Namibia</t>
  </si>
  <si>
    <t>Nepal</t>
  </si>
  <si>
    <t>Netherlands</t>
  </si>
  <si>
    <t>New Zealand</t>
  </si>
  <si>
    <t>Niger</t>
  </si>
  <si>
    <t>Nigeria</t>
  </si>
  <si>
    <t>Northern Ireland</t>
  </si>
  <si>
    <t>Norway</t>
  </si>
  <si>
    <t>Oman</t>
  </si>
  <si>
    <t>Pakistan</t>
  </si>
  <si>
    <t>Palestine</t>
  </si>
  <si>
    <t>Peru</t>
  </si>
  <si>
    <t>Philippines</t>
  </si>
  <si>
    <t>Poland</t>
  </si>
  <si>
    <t>Portugal</t>
  </si>
  <si>
    <t>Qatar</t>
  </si>
  <si>
    <t>Romania</t>
  </si>
  <si>
    <t>Russia</t>
  </si>
  <si>
    <t>Rwanda</t>
  </si>
  <si>
    <t>Saudi</t>
  </si>
  <si>
    <t>Scotland</t>
  </si>
  <si>
    <t>Senegal</t>
  </si>
  <si>
    <t>Serbian</t>
  </si>
  <si>
    <t>Sierra Leone</t>
  </si>
  <si>
    <t>Singaporean</t>
  </si>
  <si>
    <t>Slovakia</t>
  </si>
  <si>
    <t>Slovenia</t>
  </si>
  <si>
    <t>Somalia</t>
  </si>
  <si>
    <t>Somaliland</t>
  </si>
  <si>
    <t>South Africa</t>
  </si>
  <si>
    <t>South Sudan</t>
  </si>
  <si>
    <t>South West Africa</t>
  </si>
  <si>
    <t>Spain</t>
  </si>
  <si>
    <t>Sri Lanka</t>
  </si>
  <si>
    <t>St. Lucia</t>
  </si>
  <si>
    <t>Sudan</t>
  </si>
  <si>
    <t>Sweden</t>
  </si>
  <si>
    <t>Syria</t>
  </si>
  <si>
    <t>Tanzania</t>
  </si>
  <si>
    <t>Thai</t>
  </si>
  <si>
    <t>Trinidad And Tobago</t>
  </si>
  <si>
    <t>Tunisia</t>
  </si>
  <si>
    <t>Turkey</t>
  </si>
  <si>
    <t>Uganda</t>
  </si>
  <si>
    <t>Ukraine</t>
  </si>
  <si>
    <t>United Arab Emirates</t>
  </si>
  <si>
    <t>United Kingdom</t>
  </si>
  <si>
    <t>United States</t>
  </si>
  <si>
    <t>Uzbek</t>
  </si>
  <si>
    <t>Vietnam</t>
  </si>
  <si>
    <t>Virgin Islander (British)</t>
  </si>
  <si>
    <t>Western Sahara</t>
  </si>
  <si>
    <t>Yemen (Arab Republic)</t>
  </si>
  <si>
    <t>Zambian</t>
  </si>
  <si>
    <t>Zimbabwe</t>
  </si>
  <si>
    <t>Unknown</t>
  </si>
  <si>
    <t>Not Recorded</t>
  </si>
  <si>
    <t>Pop (all ages)</t>
  </si>
  <si>
    <t>Prosecution rate:</t>
  </si>
  <si>
    <t>Pop (16 - 64)</t>
  </si>
  <si>
    <t xml:space="preserve">British </t>
  </si>
  <si>
    <t>Unknown/ not recorded</t>
  </si>
  <si>
    <t>Non-British</t>
  </si>
  <si>
    <t>% inc unknown as British (unlikely)</t>
  </si>
  <si>
    <t>London Pop:</t>
  </si>
  <si>
    <t>% inc unknown as non-British</t>
  </si>
  <si>
    <t>Total ex "unknown"</t>
  </si>
  <si>
    <t>% ex unknown</t>
  </si>
  <si>
    <r>
      <rPr/>
      <t xml:space="preserve">Population data was from the 2021 Annual Population Survey: </t>
    </r>
    <r>
      <rPr>
        <color rgb="FF1155CC"/>
        <u/>
      </rPr>
      <t>https://www.ons.gov.uk/peoplepopulationandcommunity/populationandmigration/internationalmigration/bulletins/ukpopulationbycountryofbirthandnationality/yearendingjune2021/relateddata</t>
    </r>
  </si>
  <si>
    <r>
      <rPr/>
      <t xml:space="preserve">And cross-checked with the 2021 Census: </t>
    </r>
    <r>
      <rPr>
        <color rgb="FF1155CC"/>
        <u/>
      </rPr>
      <t>https://www.ons.gov.uk/datasets/RM108/editions/2021/versions/1</t>
    </r>
  </si>
  <si>
    <t>Population figures from the Annual Population Survey were cross-referenced with the 2021 census. The census does not have a field on 'nationality'. The nearest proxy is "passport held" but this field has a limited number of countries - with many of the hgihest offending nations not represented. "Country of birth" is another potential proxy but, again, not all countries represented within the prosecution data appear in this census dataset. The census places the population of London in 2021 at 8,799m whereas the APS places it at 9,078m. The census places the non-British population of London at 22% (https://www.ons.gov.uk/peoplepopulationandcommunity/populationandmigration/internationalmigration/bulletins/ukpopulationbycountryofbirthandnationality/2020) whilst the APS places it at 21.5%. Foreign nationals, according to the APS, were 25.7% of the population of London aged 16 - 64 - and, even with a few percentage point increase in the interim as a result of immigration, still means the prosecution rate of 37-46% is a huge overrepresentation.</t>
  </si>
  <si>
    <t>Rate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</si>
</sst>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sz val="11.0"/>
      <color theme="1"/>
      <name val="Calibri"/>
    </font>
    <font>
      <b/>
      <sz val="11.0"/>
      <color theme="1"/>
      <name val="Calibri"/>
    </font>
    <font>
      <color theme="1"/>
      <name val="Arial"/>
    </font>
    <font>
      <b/>
      <sz val="11.0"/>
      <color rgb="FFC00000"/>
      <name val="Calibri"/>
    </font>
    <font>
      <b/>
      <u/>
      <sz val="14.0"/>
      <color theme="1"/>
      <name val="Calibri"/>
    </font>
    <font>
      <b/>
      <u/>
      <sz val="11.0"/>
      <color theme="1"/>
      <name val="Calibri"/>
    </font>
    <font/>
    <font>
      <u/>
      <color rgb="FF0000FF"/>
    </font>
    <font>
      <b/>
      <color theme="1"/>
      <name val="Arial"/>
      <scheme val="minor"/>
    </font>
    <font>
      <color theme="1"/>
      <name val="Arial"/>
      <scheme val="minor"/>
    </font>
  </fonts>
  <fills count="3">
    <fill>
      <patternFill patternType="none"/>
    </fill>
    <fill>
      <patternFill patternType="lightGray"/>
    </fill>
    <fill>
      <patternFill patternType="solid">
        <fgColor rgb="FFDEEAF6"/>
        <bgColor rgb="FFDEEAF6"/>
      </patternFill>
    </fill>
  </fills>
  <borders count="5">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quotePrefix="1" borderId="0" fillId="0" fontId="2" numFmtId="0" xfId="0" applyAlignment="1" applyFont="1">
      <alignment vertical="bottom"/>
    </xf>
    <xf borderId="0" fillId="0" fontId="5" numFmtId="0" xfId="0" applyAlignment="1" applyFont="1">
      <alignment vertical="bottom"/>
    </xf>
    <xf borderId="0" fillId="0" fontId="4" numFmtId="4" xfId="0" applyFont="1" applyNumberFormat="1"/>
    <xf quotePrefix="1" borderId="0" fillId="0" fontId="6" numFmtId="0" xfId="0" applyAlignment="1" applyFont="1">
      <alignment vertical="bottom"/>
    </xf>
    <xf borderId="0" fillId="0" fontId="7" numFmtId="0" xfId="0" applyAlignment="1" applyFont="1">
      <alignment vertical="bottom"/>
    </xf>
    <xf borderId="1" fillId="2" fontId="3" numFmtId="0" xfId="0" applyAlignment="1" applyBorder="1" applyFill="1" applyFont="1">
      <alignment horizontal="center" vertical="bottom"/>
    </xf>
    <xf borderId="2" fillId="0" fontId="8" numFmtId="0" xfId="0" applyBorder="1" applyFont="1"/>
    <xf borderId="3" fillId="0" fontId="8" numFmtId="0" xfId="0" applyBorder="1" applyFont="1"/>
    <xf borderId="4" fillId="2" fontId="3" numFmtId="0" xfId="0" applyAlignment="1" applyBorder="1" applyFont="1">
      <alignment vertical="bottom"/>
    </xf>
    <xf borderId="4" fillId="2" fontId="3" numFmtId="0" xfId="0" applyAlignment="1" applyBorder="1" applyFont="1">
      <alignment horizontal="center" vertical="bottom"/>
    </xf>
    <xf borderId="0" fillId="0" fontId="4" numFmtId="0" xfId="0" applyFont="1"/>
    <xf borderId="0" fillId="0" fontId="4" numFmtId="4" xfId="0" applyAlignment="1" applyFont="1" applyNumberFormat="1">
      <alignment shrinkToFit="0" wrapText="1"/>
    </xf>
    <xf borderId="4" fillId="0" fontId="2" numFmtId="0" xfId="0" applyAlignment="1" applyBorder="1" applyFont="1">
      <alignment vertical="bottom"/>
    </xf>
    <xf borderId="4" fillId="0" fontId="2" numFmtId="0" xfId="0" applyAlignment="1" applyBorder="1" applyFont="1">
      <alignment horizontal="center" vertical="bottom"/>
    </xf>
    <xf borderId="0" fillId="0" fontId="2" numFmtId="0" xfId="0" applyAlignment="1" applyFont="1">
      <alignment horizontal="center" vertical="bottom"/>
    </xf>
    <xf borderId="0" fillId="0" fontId="2" numFmtId="10" xfId="0" applyAlignment="1" applyFont="1" applyNumberFormat="1">
      <alignment horizontal="center" vertical="bottom"/>
    </xf>
    <xf borderId="0" fillId="0" fontId="9" numFmtId="0" xfId="0" applyFont="1"/>
    <xf borderId="0" fillId="0" fontId="4" numFmtId="0" xfId="0" applyAlignment="1" applyFont="1">
      <alignment horizontal="center" shrinkToFit="0" wrapText="1"/>
    </xf>
    <xf borderId="0" fillId="0" fontId="10" numFmtId="0" xfId="0" applyAlignment="1" applyFont="1">
      <alignment readingOrder="0"/>
    </xf>
    <xf borderId="0" fillId="0" fontId="10" numFmtId="4" xfId="0" applyFont="1" applyNumberFormat="1"/>
    <xf borderId="0" fillId="0" fontId="10" numFmtId="0" xfId="0" applyFont="1"/>
    <xf borderId="0" fillId="0" fontId="11"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ons.gov.uk/peoplepopulationandcommunity/populationandmigration/internationalmigration/bulletins/ukpopulationbycountryofbirthandnationality/yearendingjune2021/relateddata" TargetMode="External"/><Relationship Id="rId2" Type="http://schemas.openxmlformats.org/officeDocument/2006/relationships/hyperlink" Target="https://www.ons.gov.uk/datasets/RM108/editions/2021/versions/1"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c r="B1" s="2"/>
      <c r="C1" s="2"/>
      <c r="D1" s="2"/>
      <c r="E1" s="2"/>
      <c r="F1" s="2"/>
      <c r="G1" s="2"/>
      <c r="H1" s="2"/>
      <c r="I1" s="2"/>
      <c r="J1" s="2"/>
      <c r="K1" s="2"/>
    </row>
    <row r="2" ht="15.75" customHeight="1">
      <c r="A2" s="2" t="s">
        <v>0</v>
      </c>
      <c r="B2" s="2"/>
      <c r="C2" s="2"/>
      <c r="D2" s="2"/>
      <c r="E2" s="2"/>
      <c r="F2" s="2"/>
      <c r="G2" s="2"/>
      <c r="H2" s="2"/>
      <c r="I2" s="2"/>
      <c r="J2" s="2"/>
      <c r="K2" s="2"/>
    </row>
    <row r="3" ht="15.75" customHeight="1">
      <c r="A3" s="2"/>
      <c r="B3" s="2"/>
      <c r="C3" s="2"/>
      <c r="D3" s="2"/>
      <c r="E3" s="2"/>
      <c r="F3" s="2"/>
      <c r="G3" s="2"/>
      <c r="H3" s="2"/>
      <c r="I3" s="2"/>
      <c r="J3" s="2"/>
      <c r="K3" s="2"/>
    </row>
    <row r="4" ht="15.75" customHeight="1">
      <c r="A4" s="2" t="s">
        <v>1</v>
      </c>
      <c r="B4" s="3" t="s">
        <v>2</v>
      </c>
      <c r="C4" s="2"/>
      <c r="D4" s="2"/>
      <c r="E4" s="2"/>
      <c r="F4" s="2"/>
      <c r="G4" s="2"/>
      <c r="H4" s="2"/>
      <c r="I4" s="2"/>
      <c r="J4" s="2"/>
      <c r="K4" s="2"/>
    </row>
    <row r="5" ht="15.75" customHeight="1">
      <c r="A5" s="2"/>
      <c r="B5" s="2" t="s">
        <v>3</v>
      </c>
      <c r="C5" s="2"/>
      <c r="D5" s="2"/>
      <c r="E5" s="2"/>
      <c r="F5" s="2"/>
      <c r="G5" s="2"/>
      <c r="H5" s="2"/>
      <c r="I5" s="2"/>
      <c r="J5" s="2"/>
      <c r="K5" s="2"/>
    </row>
    <row r="6" ht="15.75" customHeight="1">
      <c r="A6" s="2"/>
      <c r="B6" s="2"/>
      <c r="C6" s="2"/>
      <c r="D6" s="2"/>
      <c r="E6" s="2"/>
      <c r="F6" s="2"/>
      <c r="G6" s="2"/>
      <c r="H6" s="2"/>
      <c r="I6" s="2"/>
      <c r="J6" s="2"/>
      <c r="K6" s="2"/>
    </row>
    <row r="7" ht="15.75" customHeight="1">
      <c r="A7" s="2" t="s">
        <v>4</v>
      </c>
      <c r="B7" s="2"/>
      <c r="C7" s="2"/>
      <c r="D7" s="2"/>
      <c r="E7" s="2"/>
      <c r="F7" s="2"/>
      <c r="G7" s="2"/>
      <c r="H7" s="2"/>
      <c r="I7" s="2"/>
      <c r="J7" s="2"/>
      <c r="K7" s="2"/>
    </row>
    <row r="8" ht="15.75" customHeight="1">
      <c r="A8" s="1"/>
      <c r="B8" s="2"/>
      <c r="C8" s="2"/>
      <c r="D8" s="2"/>
      <c r="E8" s="2"/>
      <c r="F8" s="2"/>
      <c r="G8" s="2"/>
      <c r="H8" s="2"/>
      <c r="I8" s="2"/>
      <c r="J8" s="2"/>
      <c r="K8" s="2"/>
    </row>
    <row r="9" ht="15.75" customHeight="1">
      <c r="A9" s="1"/>
      <c r="B9" s="2"/>
      <c r="C9" s="2"/>
      <c r="D9" s="2"/>
      <c r="E9" s="2"/>
      <c r="F9" s="2"/>
      <c r="G9" s="2"/>
      <c r="H9" s="2"/>
      <c r="I9" s="2"/>
      <c r="J9" s="2"/>
      <c r="K9" s="2"/>
    </row>
    <row r="10" ht="15.75" customHeight="1">
      <c r="A10" s="1"/>
      <c r="B10" s="2"/>
      <c r="C10" s="2"/>
      <c r="D10" s="2"/>
      <c r="E10" s="2"/>
      <c r="F10" s="2"/>
      <c r="G10" s="2"/>
      <c r="H10" s="2"/>
      <c r="I10" s="2"/>
      <c r="J10" s="2"/>
      <c r="K10" s="2"/>
    </row>
    <row r="11" ht="15.75" customHeight="1">
      <c r="A11" s="1"/>
      <c r="B11" s="2"/>
      <c r="C11" s="2"/>
      <c r="D11" s="2"/>
      <c r="E11" s="2"/>
      <c r="F11" s="2"/>
      <c r="G11" s="2"/>
      <c r="H11" s="2"/>
      <c r="I11" s="2"/>
      <c r="J11" s="2"/>
      <c r="K11" s="2"/>
    </row>
    <row r="12" ht="15.75" customHeight="1">
      <c r="A12" s="1"/>
      <c r="B12" s="2"/>
      <c r="C12" s="2"/>
      <c r="D12" s="2"/>
      <c r="E12" s="2"/>
      <c r="F12" s="2"/>
      <c r="G12" s="2"/>
      <c r="H12" s="2"/>
      <c r="I12" s="2"/>
      <c r="J12" s="2"/>
      <c r="K12" s="2"/>
    </row>
    <row r="13" ht="15.75" customHeight="1">
      <c r="A13" s="1"/>
      <c r="B13" s="2"/>
      <c r="C13" s="2"/>
      <c r="D13" s="2"/>
      <c r="E13" s="2"/>
      <c r="F13" s="2"/>
      <c r="G13" s="2"/>
      <c r="H13" s="2"/>
      <c r="I13" s="2"/>
      <c r="J13" s="2"/>
      <c r="K13" s="2"/>
    </row>
    <row r="14" ht="15.75" customHeight="1">
      <c r="A14" s="1"/>
      <c r="B14" s="2"/>
      <c r="C14" s="2"/>
      <c r="D14" s="2"/>
      <c r="E14" s="2"/>
      <c r="F14" s="2"/>
      <c r="G14" s="2"/>
      <c r="H14" s="2"/>
      <c r="I14" s="2"/>
      <c r="J14" s="2"/>
      <c r="K14" s="2"/>
    </row>
    <row r="15" ht="15.75" customHeight="1">
      <c r="A15" s="1"/>
      <c r="B15" s="2"/>
      <c r="C15" s="2"/>
      <c r="D15" s="2"/>
      <c r="E15" s="2"/>
      <c r="F15" s="2"/>
      <c r="G15" s="2"/>
      <c r="H15" s="2"/>
      <c r="I15" s="2"/>
      <c r="J15" s="2"/>
      <c r="K15" s="2"/>
    </row>
    <row r="16" ht="15.75" customHeight="1">
      <c r="A16" s="1"/>
      <c r="B16" s="2"/>
      <c r="C16" s="2"/>
      <c r="D16" s="2"/>
      <c r="E16" s="2"/>
      <c r="F16" s="2"/>
      <c r="G16" s="2"/>
      <c r="H16" s="2"/>
      <c r="I16" s="2"/>
      <c r="J16" s="2"/>
      <c r="K16" s="2"/>
    </row>
    <row r="17" ht="15.75" customHeight="1">
      <c r="A17" s="1"/>
      <c r="B17" s="2"/>
      <c r="C17" s="2"/>
      <c r="D17" s="2"/>
      <c r="E17" s="2"/>
      <c r="F17" s="2"/>
      <c r="G17" s="2"/>
      <c r="H17" s="2"/>
      <c r="I17" s="2"/>
      <c r="J17" s="2"/>
      <c r="K17" s="2"/>
    </row>
    <row r="18" ht="15.75" customHeight="1">
      <c r="A18" s="1"/>
      <c r="B18" s="2"/>
      <c r="C18" s="2"/>
      <c r="D18" s="2"/>
      <c r="E18" s="2"/>
      <c r="F18" s="2"/>
      <c r="G18" s="2"/>
      <c r="H18" s="2"/>
      <c r="I18" s="2"/>
      <c r="J18" s="2"/>
      <c r="K18" s="2"/>
    </row>
    <row r="19" ht="15.75" customHeight="1">
      <c r="A19" s="1" t="s">
        <v>5</v>
      </c>
      <c r="B19" s="2"/>
      <c r="C19" s="2"/>
      <c r="D19" s="2"/>
      <c r="E19" s="2"/>
      <c r="F19" s="2"/>
      <c r="G19" s="2"/>
      <c r="H19" s="2"/>
      <c r="I19" s="2"/>
      <c r="J19" s="2"/>
      <c r="K19" s="2"/>
    </row>
    <row r="20" ht="15.75" customHeight="1">
      <c r="A20" s="2"/>
      <c r="B20" s="2"/>
      <c r="C20" s="2"/>
      <c r="D20" s="2"/>
      <c r="E20" s="2"/>
      <c r="F20" s="2"/>
      <c r="G20" s="2"/>
      <c r="H20" s="2"/>
      <c r="I20" s="2"/>
      <c r="J20" s="2"/>
      <c r="K20" s="2"/>
    </row>
    <row r="21" ht="15.75" customHeight="1">
      <c r="A21" s="4" t="s">
        <v>6</v>
      </c>
      <c r="B21" s="2"/>
      <c r="C21" s="2"/>
      <c r="D21" s="2"/>
      <c r="E21" s="2"/>
      <c r="F21" s="2"/>
      <c r="G21" s="2"/>
      <c r="H21" s="5" t="s">
        <v>7</v>
      </c>
      <c r="I21" s="2"/>
      <c r="J21" s="2"/>
      <c r="K21" s="2"/>
    </row>
    <row r="22" ht="15.75" customHeight="1">
      <c r="A22" s="2"/>
      <c r="B22" s="2"/>
      <c r="C22" s="2"/>
      <c r="D22" s="2"/>
      <c r="E22" s="2"/>
      <c r="F22" s="2"/>
      <c r="G22" s="2"/>
      <c r="H22" s="2"/>
      <c r="I22" s="2"/>
      <c r="J22" s="2"/>
      <c r="K22" s="2"/>
    </row>
    <row r="23" ht="15.75" customHeight="1">
      <c r="A23" s="2" t="s">
        <v>8</v>
      </c>
      <c r="B23" s="2"/>
      <c r="C23" s="2"/>
      <c r="D23" s="2"/>
      <c r="E23" s="2"/>
      <c r="F23" s="2"/>
      <c r="G23" s="2"/>
      <c r="H23" s="2"/>
      <c r="I23" s="2"/>
      <c r="J23" s="2"/>
      <c r="K23" s="2"/>
    </row>
    <row r="24" ht="15.75" customHeight="1">
      <c r="A24" s="2"/>
      <c r="B24" s="2"/>
      <c r="C24" s="2"/>
      <c r="D24" s="2"/>
      <c r="E24" s="2"/>
      <c r="F24" s="2"/>
      <c r="G24" s="2"/>
      <c r="H24" s="2"/>
      <c r="I24" s="2"/>
      <c r="J24" s="2"/>
      <c r="K24" s="2"/>
    </row>
    <row r="25" ht="15.75" customHeight="1">
      <c r="A25" s="1" t="s">
        <v>9</v>
      </c>
      <c r="B25" s="2"/>
      <c r="C25" s="2"/>
      <c r="D25" s="2"/>
      <c r="E25" s="2"/>
      <c r="F25" s="2"/>
      <c r="G25" s="2"/>
      <c r="H25" s="2"/>
      <c r="I25" s="2"/>
      <c r="J25" s="2"/>
      <c r="K25" s="2"/>
    </row>
    <row r="26" ht="15.75" customHeight="1">
      <c r="A26" s="2"/>
      <c r="B26" s="2"/>
      <c r="C26" s="2"/>
      <c r="D26" s="2"/>
      <c r="E26" s="2"/>
      <c r="F26" s="2"/>
      <c r="G26" s="2"/>
      <c r="H26" s="2"/>
      <c r="I26" s="2"/>
      <c r="J26" s="2"/>
      <c r="K26" s="2"/>
    </row>
    <row r="27" ht="15.75" customHeight="1">
      <c r="A27" s="2" t="s">
        <v>10</v>
      </c>
      <c r="B27" s="2"/>
      <c r="C27" s="2"/>
      <c r="D27" s="2"/>
      <c r="E27" s="2"/>
      <c r="F27" s="2"/>
      <c r="G27" s="2"/>
      <c r="H27" s="2"/>
      <c r="I27" s="2"/>
      <c r="J27" s="2"/>
      <c r="K27" s="2"/>
    </row>
    <row r="28" ht="15.75" customHeight="1">
      <c r="A28" s="2" t="s">
        <v>11</v>
      </c>
      <c r="B28" s="2"/>
      <c r="C28" s="2"/>
      <c r="D28" s="2"/>
      <c r="E28" s="2"/>
      <c r="F28" s="2"/>
      <c r="G28" s="2"/>
      <c r="H28" s="2"/>
      <c r="I28" s="2"/>
      <c r="J28" s="2"/>
      <c r="K28" s="2"/>
    </row>
    <row r="29" ht="15.75" customHeight="1">
      <c r="A29" s="2" t="s">
        <v>12</v>
      </c>
      <c r="B29" s="2"/>
      <c r="C29" s="2"/>
      <c r="D29" s="2"/>
      <c r="E29" s="2"/>
      <c r="F29" s="2"/>
      <c r="G29" s="2"/>
      <c r="H29" s="2"/>
      <c r="I29" s="2"/>
      <c r="J29" s="2"/>
      <c r="K29" s="2"/>
    </row>
    <row r="30" ht="15.75" customHeight="1">
      <c r="A30" s="2" t="s">
        <v>13</v>
      </c>
      <c r="B30" s="2"/>
      <c r="C30" s="2"/>
      <c r="D30" s="2"/>
      <c r="E30" s="2"/>
      <c r="F30" s="2"/>
      <c r="G30" s="2"/>
      <c r="H30" s="2"/>
      <c r="I30" s="2"/>
      <c r="J30" s="2"/>
      <c r="K30" s="2"/>
    </row>
    <row r="31" ht="15.75" customHeight="1">
      <c r="A31" s="2" t="s">
        <v>14</v>
      </c>
      <c r="B31" s="2"/>
      <c r="C31" s="2"/>
      <c r="D31" s="2"/>
      <c r="E31" s="2"/>
      <c r="F31" s="2"/>
      <c r="G31" s="2"/>
      <c r="H31" s="2"/>
      <c r="I31" s="2"/>
      <c r="J31" s="2"/>
      <c r="K31" s="2"/>
    </row>
    <row r="32" ht="15.75" customHeight="1">
      <c r="A32" s="2" t="s">
        <v>15</v>
      </c>
      <c r="B32" s="2"/>
      <c r="C32" s="2"/>
      <c r="D32" s="2"/>
      <c r="E32" s="2"/>
      <c r="F32" s="2"/>
      <c r="G32" s="2"/>
      <c r="H32" s="2"/>
      <c r="I32" s="2"/>
      <c r="J32" s="2"/>
      <c r="K32" s="2"/>
    </row>
    <row r="33" ht="15.75" customHeight="1">
      <c r="A33" s="2"/>
      <c r="B33" s="2"/>
      <c r="C33" s="2"/>
      <c r="D33" s="2"/>
      <c r="E33" s="2"/>
      <c r="F33" s="2"/>
      <c r="G33" s="2"/>
      <c r="H33" s="2"/>
      <c r="I33" s="2"/>
      <c r="J33" s="2"/>
      <c r="K33" s="2"/>
    </row>
    <row r="34" ht="15.75" customHeight="1">
      <c r="A34" s="1" t="s">
        <v>16</v>
      </c>
      <c r="B34" s="2"/>
      <c r="C34" s="2"/>
      <c r="D34" s="2"/>
      <c r="E34" s="2"/>
      <c r="F34" s="2"/>
      <c r="G34" s="2"/>
      <c r="H34" s="2"/>
      <c r="I34" s="2"/>
      <c r="J34" s="2"/>
      <c r="K34" s="2"/>
    </row>
    <row r="35" ht="15.75" customHeight="1">
      <c r="A35" s="2"/>
      <c r="B35" s="2"/>
      <c r="C35" s="2"/>
      <c r="D35" s="2"/>
      <c r="E35" s="2"/>
      <c r="F35" s="2"/>
      <c r="G35" s="2"/>
      <c r="H35" s="2"/>
      <c r="I35" s="2"/>
      <c r="J35" s="2"/>
      <c r="K35" s="2"/>
    </row>
    <row r="36" ht="15.75" customHeight="1">
      <c r="A36" s="2" t="s">
        <v>17</v>
      </c>
      <c r="B36" s="2"/>
      <c r="C36" s="2"/>
      <c r="D36" s="2"/>
      <c r="E36" s="2"/>
      <c r="F36" s="2"/>
      <c r="G36" s="2"/>
      <c r="H36" s="2"/>
      <c r="I36" s="2"/>
      <c r="J36" s="2"/>
      <c r="K36" s="2"/>
    </row>
    <row r="37" ht="15.75" customHeight="1">
      <c r="A37" s="2" t="s">
        <v>18</v>
      </c>
      <c r="B37" s="2"/>
      <c r="C37" s="2"/>
      <c r="D37" s="2"/>
      <c r="E37" s="2"/>
      <c r="F37" s="2"/>
      <c r="G37" s="2"/>
      <c r="H37" s="2"/>
      <c r="I37" s="2"/>
      <c r="J37" s="2"/>
      <c r="K37" s="2"/>
    </row>
    <row r="38" ht="15.75" customHeight="1">
      <c r="A38" s="2" t="s">
        <v>19</v>
      </c>
      <c r="B38" s="2"/>
      <c r="C38" s="2"/>
      <c r="D38" s="2"/>
      <c r="E38" s="2"/>
      <c r="F38" s="2"/>
      <c r="G38" s="2"/>
      <c r="H38" s="2"/>
      <c r="I38" s="2"/>
      <c r="J38" s="2"/>
      <c r="K38" s="2"/>
    </row>
    <row r="39" ht="15.75" customHeight="1">
      <c r="A39" s="2" t="s">
        <v>20</v>
      </c>
      <c r="B39" s="2"/>
      <c r="C39" s="2"/>
      <c r="D39" s="2"/>
      <c r="E39" s="2"/>
      <c r="F39" s="2"/>
      <c r="G39" s="2"/>
      <c r="H39" s="2"/>
      <c r="I39" s="2"/>
      <c r="J39" s="2"/>
      <c r="K39" s="2"/>
    </row>
    <row r="40" ht="15.75" customHeight="1">
      <c r="A40" s="2" t="s">
        <v>21</v>
      </c>
      <c r="B40" s="2"/>
      <c r="C40" s="2"/>
      <c r="D40" s="2"/>
      <c r="E40" s="2"/>
      <c r="F40" s="2"/>
      <c r="G40" s="2"/>
      <c r="H40" s="2"/>
      <c r="I40" s="2"/>
      <c r="J40" s="2"/>
      <c r="K40" s="2"/>
    </row>
    <row r="41" ht="15.75" customHeight="1">
      <c r="A41" s="2" t="s">
        <v>22</v>
      </c>
      <c r="B41" s="2"/>
      <c r="C41" s="2"/>
      <c r="D41" s="2"/>
      <c r="E41" s="2"/>
      <c r="F41" s="2"/>
      <c r="G41" s="2"/>
      <c r="H41" s="2"/>
      <c r="I41" s="2"/>
      <c r="J41" s="2"/>
      <c r="K41" s="2"/>
    </row>
    <row r="42" ht="15.75" customHeight="1">
      <c r="A42" s="2" t="s">
        <v>23</v>
      </c>
      <c r="B42" s="2"/>
      <c r="C42" s="2"/>
      <c r="D42" s="2"/>
      <c r="E42" s="2"/>
      <c r="F42" s="2"/>
      <c r="G42" s="2"/>
      <c r="H42" s="2"/>
      <c r="I42" s="2"/>
      <c r="J42" s="2"/>
      <c r="K42" s="2"/>
    </row>
    <row r="43" ht="15.75" customHeight="1">
      <c r="A43" s="2" t="s">
        <v>24</v>
      </c>
      <c r="B43" s="2"/>
      <c r="C43" s="2"/>
      <c r="D43" s="2"/>
      <c r="E43" s="2"/>
      <c r="F43" s="2"/>
      <c r="G43" s="2"/>
      <c r="H43" s="2"/>
      <c r="I43" s="2"/>
      <c r="J43" s="2"/>
      <c r="K43" s="2"/>
    </row>
    <row r="44" ht="15.75" customHeight="1">
      <c r="A44" s="2" t="s">
        <v>25</v>
      </c>
      <c r="B44" s="2"/>
      <c r="C44" s="2"/>
      <c r="D44" s="2"/>
      <c r="E44" s="2"/>
      <c r="F44" s="2"/>
      <c r="G44" s="2"/>
      <c r="H44" s="2"/>
      <c r="I44" s="2"/>
      <c r="J44" s="2"/>
      <c r="K44" s="2"/>
    </row>
    <row r="45" ht="15.75" customHeight="1">
      <c r="A45" s="2" t="s">
        <v>26</v>
      </c>
      <c r="B45" s="2"/>
      <c r="C45" s="2"/>
      <c r="D45" s="2"/>
      <c r="E45" s="2"/>
      <c r="F45" s="2"/>
      <c r="G45" s="2"/>
      <c r="H45" s="2"/>
      <c r="I45" s="2"/>
      <c r="J45" s="2"/>
      <c r="K45" s="2"/>
    </row>
    <row r="46" ht="15.75" customHeight="1">
      <c r="A46" s="2" t="s">
        <v>27</v>
      </c>
      <c r="B46" s="2"/>
      <c r="C46" s="2"/>
      <c r="D46" s="2"/>
      <c r="E46" s="2"/>
      <c r="F46" s="2"/>
      <c r="G46" s="2"/>
      <c r="H46" s="2"/>
      <c r="I46" s="2"/>
      <c r="J46" s="2"/>
      <c r="K46" s="2"/>
    </row>
    <row r="47" ht="15.75" customHeight="1">
      <c r="A47" s="2" t="s">
        <v>28</v>
      </c>
      <c r="B47" s="2"/>
      <c r="C47" s="2"/>
      <c r="D47" s="2"/>
      <c r="E47" s="2"/>
      <c r="F47" s="2"/>
      <c r="G47" s="2"/>
      <c r="H47" s="2"/>
      <c r="I47" s="2"/>
      <c r="J47" s="2"/>
      <c r="K47" s="2"/>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6" t="s">
        <v>29</v>
      </c>
      <c r="B1" s="2"/>
      <c r="C1" s="2"/>
      <c r="D1" s="2"/>
      <c r="E1" s="2"/>
      <c r="F1" s="2"/>
      <c r="G1" s="2"/>
      <c r="H1" s="2"/>
      <c r="I1" s="2"/>
      <c r="K1" s="7"/>
    </row>
    <row r="2" ht="15.75" customHeight="1">
      <c r="A2" s="2"/>
      <c r="B2" s="2"/>
      <c r="C2" s="2"/>
      <c r="D2" s="2"/>
      <c r="E2" s="2"/>
      <c r="F2" s="2"/>
      <c r="G2" s="2"/>
      <c r="H2" s="2"/>
      <c r="I2" s="2"/>
      <c r="K2" s="7"/>
    </row>
    <row r="3" ht="15.75" customHeight="1">
      <c r="A3" s="8" t="s">
        <v>30</v>
      </c>
      <c r="B3" s="2"/>
      <c r="C3" s="2"/>
      <c r="D3" s="2"/>
      <c r="E3" s="2"/>
      <c r="F3" s="2"/>
      <c r="G3" s="2"/>
      <c r="H3" s="2"/>
      <c r="I3" s="2"/>
      <c r="K3" s="7"/>
    </row>
    <row r="4" ht="15.75" customHeight="1">
      <c r="A4" s="9" t="s">
        <v>31</v>
      </c>
      <c r="B4" s="2"/>
      <c r="C4" s="2"/>
      <c r="D4" s="2"/>
      <c r="E4" s="2"/>
      <c r="F4" s="2"/>
      <c r="G4" s="2"/>
      <c r="H4" s="2"/>
      <c r="I4" s="2"/>
      <c r="K4" s="7"/>
    </row>
    <row r="5" ht="15.75" customHeight="1">
      <c r="A5" s="2"/>
      <c r="B5" s="2"/>
      <c r="C5" s="2"/>
      <c r="D5" s="2"/>
      <c r="E5" s="2"/>
      <c r="F5" s="2"/>
      <c r="G5" s="2"/>
      <c r="H5" s="2"/>
      <c r="I5" s="2"/>
      <c r="K5" s="7"/>
    </row>
    <row r="6" ht="15.75" customHeight="1">
      <c r="A6" s="2"/>
      <c r="B6" s="10" t="s">
        <v>32</v>
      </c>
      <c r="C6" s="11"/>
      <c r="D6" s="11"/>
      <c r="E6" s="11"/>
      <c r="F6" s="11"/>
      <c r="G6" s="11"/>
      <c r="H6" s="12"/>
      <c r="I6" s="2"/>
      <c r="K6" s="7"/>
    </row>
    <row r="7" ht="15.75" customHeight="1">
      <c r="A7" s="13" t="s">
        <v>33</v>
      </c>
      <c r="B7" s="14">
        <v>2018.0</v>
      </c>
      <c r="C7" s="14">
        <v>2019.0</v>
      </c>
      <c r="D7" s="14">
        <v>2020.0</v>
      </c>
      <c r="E7" s="14">
        <v>2021.0</v>
      </c>
      <c r="F7" s="14">
        <v>2022.0</v>
      </c>
      <c r="G7" s="14">
        <v>2023.0</v>
      </c>
      <c r="H7" s="14">
        <v>2024.0</v>
      </c>
      <c r="I7" s="14" t="s">
        <v>34</v>
      </c>
      <c r="J7" s="15" t="s">
        <v>35</v>
      </c>
      <c r="K7" s="16" t="s">
        <v>36</v>
      </c>
    </row>
    <row r="8" ht="15.75" customHeight="1">
      <c r="A8" s="17" t="s">
        <v>37</v>
      </c>
      <c r="B8" s="18">
        <v>12.0</v>
      </c>
      <c r="C8" s="18">
        <v>10.0</v>
      </c>
      <c r="D8" s="18">
        <v>6.0</v>
      </c>
      <c r="E8" s="18">
        <v>14.0</v>
      </c>
      <c r="F8" s="18">
        <v>17.0</v>
      </c>
      <c r="G8" s="18">
        <v>14.0</v>
      </c>
      <c r="H8" s="18">
        <v>16.0</v>
      </c>
      <c r="I8" s="18">
        <v>89.0</v>
      </c>
      <c r="J8" s="15">
        <v>12000.0</v>
      </c>
      <c r="K8" s="7">
        <f t="shared" ref="K8:K10" si="1">I8/J8*10000</f>
        <v>74.16666667</v>
      </c>
    </row>
    <row r="9" ht="15.75" customHeight="1">
      <c r="A9" s="17" t="s">
        <v>38</v>
      </c>
      <c r="B9" s="18">
        <v>2.0</v>
      </c>
      <c r="C9" s="18">
        <v>2.0</v>
      </c>
      <c r="D9" s="18">
        <v>6.0</v>
      </c>
      <c r="E9" s="18">
        <v>6.0</v>
      </c>
      <c r="F9" s="18">
        <v>10.0</v>
      </c>
      <c r="G9" s="18">
        <v>9.0</v>
      </c>
      <c r="H9" s="18">
        <v>8.0</v>
      </c>
      <c r="I9" s="18">
        <v>43.0</v>
      </c>
      <c r="J9" s="15">
        <v>12000.0</v>
      </c>
      <c r="K9" s="7">
        <f t="shared" si="1"/>
        <v>35.83333333</v>
      </c>
    </row>
    <row r="10" ht="15.75" customHeight="1">
      <c r="A10" s="17" t="s">
        <v>39</v>
      </c>
      <c r="B10" s="18">
        <v>6.0</v>
      </c>
      <c r="C10" s="18">
        <v>10.0</v>
      </c>
      <c r="D10" s="18">
        <v>8.0</v>
      </c>
      <c r="E10" s="18">
        <v>6.0</v>
      </c>
      <c r="F10" s="18">
        <v>6.0</v>
      </c>
      <c r="G10" s="18">
        <v>12.0</v>
      </c>
      <c r="H10" s="18">
        <v>14.0</v>
      </c>
      <c r="I10" s="18">
        <v>62.0</v>
      </c>
      <c r="J10" s="15">
        <v>11000.0</v>
      </c>
      <c r="K10" s="7">
        <f t="shared" si="1"/>
        <v>56.36363636</v>
      </c>
    </row>
    <row r="11" ht="15.75" customHeight="1">
      <c r="A11" s="17" t="s">
        <v>40</v>
      </c>
      <c r="B11" s="18">
        <v>0.0</v>
      </c>
      <c r="C11" s="18">
        <v>0.0</v>
      </c>
      <c r="D11" s="18">
        <v>1.0</v>
      </c>
      <c r="E11" s="18">
        <v>0.0</v>
      </c>
      <c r="F11" s="18">
        <v>0.0</v>
      </c>
      <c r="G11" s="18">
        <v>0.0</v>
      </c>
      <c r="H11" s="18">
        <v>0.0</v>
      </c>
      <c r="I11" s="18">
        <v>1.0</v>
      </c>
      <c r="K11" s="7"/>
    </row>
    <row r="12" ht="15.75" customHeight="1">
      <c r="A12" s="17" t="s">
        <v>41</v>
      </c>
      <c r="B12" s="18">
        <v>2.0</v>
      </c>
      <c r="C12" s="18">
        <v>2.0</v>
      </c>
      <c r="D12" s="18">
        <v>1.0</v>
      </c>
      <c r="E12" s="18">
        <v>0.0</v>
      </c>
      <c r="F12" s="18">
        <v>0.0</v>
      </c>
      <c r="G12" s="18">
        <v>1.0</v>
      </c>
      <c r="H12" s="18">
        <v>0.0</v>
      </c>
      <c r="I12" s="18">
        <v>6.0</v>
      </c>
      <c r="J12" s="15">
        <v>9000.0</v>
      </c>
      <c r="K12" s="7">
        <f>I12/J12*10000</f>
        <v>6.666666667</v>
      </c>
    </row>
    <row r="13" ht="15.75" customHeight="1">
      <c r="A13" s="17" t="s">
        <v>42</v>
      </c>
      <c r="B13" s="18">
        <v>1.0</v>
      </c>
      <c r="C13" s="17"/>
      <c r="D13" s="18">
        <v>0.0</v>
      </c>
      <c r="E13" s="18">
        <v>1.0</v>
      </c>
      <c r="F13" s="18">
        <v>1.0</v>
      </c>
      <c r="G13" s="18">
        <v>0.0</v>
      </c>
      <c r="H13" s="18">
        <v>1.0</v>
      </c>
      <c r="I13" s="18">
        <v>4.0</v>
      </c>
      <c r="K13" s="7"/>
    </row>
    <row r="14" ht="15.75" customHeight="1">
      <c r="A14" s="17" t="s">
        <v>43</v>
      </c>
      <c r="B14" s="18">
        <v>0.0</v>
      </c>
      <c r="C14" s="18">
        <v>0.0</v>
      </c>
      <c r="D14" s="18">
        <v>0.0</v>
      </c>
      <c r="E14" s="18">
        <v>1.0</v>
      </c>
      <c r="F14" s="18">
        <v>0.0</v>
      </c>
      <c r="G14" s="18">
        <v>0.0</v>
      </c>
      <c r="H14" s="18">
        <v>0.0</v>
      </c>
      <c r="I14" s="18">
        <v>1.0</v>
      </c>
      <c r="K14" s="7"/>
    </row>
    <row r="15" ht="15.75" customHeight="1">
      <c r="A15" s="17" t="s">
        <v>44</v>
      </c>
      <c r="B15" s="18">
        <v>0.0</v>
      </c>
      <c r="C15" s="18">
        <v>2.0</v>
      </c>
      <c r="D15" s="18">
        <v>2.0</v>
      </c>
      <c r="E15" s="18">
        <v>1.0</v>
      </c>
      <c r="F15" s="18">
        <v>1.0</v>
      </c>
      <c r="G15" s="18">
        <v>0.0</v>
      </c>
      <c r="H15" s="18">
        <v>1.0</v>
      </c>
      <c r="I15" s="18">
        <v>7.0</v>
      </c>
      <c r="J15" s="15">
        <v>48000.0</v>
      </c>
      <c r="K15" s="7">
        <f t="shared" ref="K15:K21" si="2">I15/J15*10000</f>
        <v>1.458333333</v>
      </c>
    </row>
    <row r="16" ht="15.75" customHeight="1">
      <c r="A16" s="17" t="s">
        <v>45</v>
      </c>
      <c r="B16" s="18">
        <v>0.0</v>
      </c>
      <c r="C16" s="18">
        <v>0.0</v>
      </c>
      <c r="D16" s="18">
        <v>0.0</v>
      </c>
      <c r="E16" s="18">
        <v>0.0</v>
      </c>
      <c r="F16" s="18">
        <v>0.0</v>
      </c>
      <c r="G16" s="18">
        <v>1.0</v>
      </c>
      <c r="H16" s="18">
        <v>1.0</v>
      </c>
      <c r="I16" s="18">
        <v>2.0</v>
      </c>
      <c r="J16" s="15">
        <v>22000.0</v>
      </c>
      <c r="K16" s="7">
        <f t="shared" si="2"/>
        <v>0.9090909091</v>
      </c>
    </row>
    <row r="17" ht="15.75" customHeight="1">
      <c r="A17" s="17" t="s">
        <v>46</v>
      </c>
      <c r="B17" s="18">
        <v>0.0</v>
      </c>
      <c r="C17" s="18">
        <v>1.0</v>
      </c>
      <c r="D17" s="18">
        <v>0.0</v>
      </c>
      <c r="E17" s="18">
        <v>0.0</v>
      </c>
      <c r="F17" s="18">
        <v>0.0</v>
      </c>
      <c r="G17" s="18">
        <v>0.0</v>
      </c>
      <c r="H17" s="18">
        <v>0.0</v>
      </c>
      <c r="I17" s="18">
        <v>1.0</v>
      </c>
      <c r="J17" s="15">
        <v>11000.0</v>
      </c>
      <c r="K17" s="7">
        <f t="shared" si="2"/>
        <v>0.9090909091</v>
      </c>
    </row>
    <row r="18" ht="15.75" customHeight="1">
      <c r="A18" s="17" t="s">
        <v>47</v>
      </c>
      <c r="B18" s="18">
        <v>2.0</v>
      </c>
      <c r="C18" s="18">
        <v>9.0</v>
      </c>
      <c r="D18" s="18">
        <v>9.0</v>
      </c>
      <c r="E18" s="18">
        <v>9.0</v>
      </c>
      <c r="F18" s="18">
        <v>13.0</v>
      </c>
      <c r="G18" s="18">
        <v>13.0</v>
      </c>
      <c r="H18" s="18">
        <v>15.0</v>
      </c>
      <c r="I18" s="18">
        <v>70.0</v>
      </c>
      <c r="J18" s="15">
        <v>33000.0</v>
      </c>
      <c r="K18" s="7">
        <f t="shared" si="2"/>
        <v>21.21212121</v>
      </c>
    </row>
    <row r="19" ht="15.75" customHeight="1">
      <c r="A19" s="17" t="s">
        <v>48</v>
      </c>
      <c r="B19" s="18">
        <v>0.0</v>
      </c>
      <c r="C19" s="18">
        <v>0.0</v>
      </c>
      <c r="D19" s="18">
        <v>1.0</v>
      </c>
      <c r="E19" s="18">
        <v>0.0</v>
      </c>
      <c r="F19" s="18">
        <v>0.0</v>
      </c>
      <c r="G19" s="18">
        <v>0.0</v>
      </c>
      <c r="H19" s="18">
        <v>0.0</v>
      </c>
      <c r="I19" s="18">
        <v>1.0</v>
      </c>
      <c r="J19" s="15">
        <v>4000.0</v>
      </c>
      <c r="K19" s="7">
        <f t="shared" si="2"/>
        <v>2.5</v>
      </c>
    </row>
    <row r="20" ht="15.75" customHeight="1">
      <c r="A20" s="17" t="s">
        <v>49</v>
      </c>
      <c r="B20" s="18">
        <v>0.0</v>
      </c>
      <c r="C20" s="18">
        <v>2.0</v>
      </c>
      <c r="D20" s="18">
        <v>1.0</v>
      </c>
      <c r="E20" s="18">
        <v>1.0</v>
      </c>
      <c r="F20" s="18">
        <v>3.0</v>
      </c>
      <c r="G20" s="18">
        <v>2.0</v>
      </c>
      <c r="H20" s="18">
        <v>1.0</v>
      </c>
      <c r="I20" s="18">
        <v>10.0</v>
      </c>
      <c r="J20" s="15">
        <v>12000.0</v>
      </c>
      <c r="K20" s="7">
        <f t="shared" si="2"/>
        <v>8.333333333</v>
      </c>
    </row>
    <row r="21" ht="15.75" customHeight="1">
      <c r="A21" s="17" t="s">
        <v>50</v>
      </c>
      <c r="B21" s="18">
        <v>1.0</v>
      </c>
      <c r="C21" s="18">
        <v>0.0</v>
      </c>
      <c r="D21" s="18">
        <v>0.0</v>
      </c>
      <c r="E21" s="18">
        <v>0.0</v>
      </c>
      <c r="F21" s="18">
        <v>0.0</v>
      </c>
      <c r="G21" s="18">
        <v>1.0</v>
      </c>
      <c r="H21" s="18">
        <v>0.0</v>
      </c>
      <c r="I21" s="18">
        <v>2.0</v>
      </c>
      <c r="J21" s="15">
        <v>9000.0</v>
      </c>
      <c r="K21" s="7">
        <f t="shared" si="2"/>
        <v>2.222222222</v>
      </c>
    </row>
    <row r="22" ht="15.75" customHeight="1">
      <c r="A22" s="17" t="s">
        <v>51</v>
      </c>
      <c r="B22" s="18">
        <v>1.0</v>
      </c>
      <c r="C22" s="18">
        <v>0.0</v>
      </c>
      <c r="D22" s="18">
        <v>0.0</v>
      </c>
      <c r="E22" s="18">
        <v>0.0</v>
      </c>
      <c r="F22" s="18">
        <v>0.0</v>
      </c>
      <c r="G22" s="18">
        <v>0.0</v>
      </c>
      <c r="H22" s="18">
        <v>0.0</v>
      </c>
      <c r="I22" s="18">
        <v>1.0</v>
      </c>
      <c r="K22" s="7"/>
    </row>
    <row r="23" ht="15.75" customHeight="1">
      <c r="A23" s="17" t="s">
        <v>52</v>
      </c>
      <c r="B23" s="18">
        <v>3.0</v>
      </c>
      <c r="C23" s="18">
        <v>3.0</v>
      </c>
      <c r="D23" s="18">
        <v>2.0</v>
      </c>
      <c r="E23" s="18">
        <v>2.0</v>
      </c>
      <c r="F23" s="18">
        <v>2.0</v>
      </c>
      <c r="G23" s="18">
        <v>1.0</v>
      </c>
      <c r="H23" s="18">
        <v>1.0</v>
      </c>
      <c r="I23" s="18">
        <v>14.0</v>
      </c>
      <c r="K23" s="7"/>
    </row>
    <row r="24" ht="15.75" customHeight="1">
      <c r="A24" s="17" t="s">
        <v>53</v>
      </c>
      <c r="B24" s="18">
        <v>0.0</v>
      </c>
      <c r="C24" s="18">
        <v>0.0</v>
      </c>
      <c r="D24" s="18">
        <v>0.0</v>
      </c>
      <c r="E24" s="18">
        <v>0.0</v>
      </c>
      <c r="F24" s="18">
        <v>0.0</v>
      </c>
      <c r="G24" s="18">
        <v>0.0</v>
      </c>
      <c r="H24" s="18">
        <v>1.0</v>
      </c>
      <c r="I24" s="18">
        <v>1.0</v>
      </c>
      <c r="K24" s="7"/>
    </row>
    <row r="25" ht="15.75" customHeight="1">
      <c r="A25" s="17" t="s">
        <v>54</v>
      </c>
      <c r="B25" s="18">
        <v>3.0</v>
      </c>
      <c r="C25" s="18">
        <v>3.0</v>
      </c>
      <c r="D25" s="18">
        <v>4.0</v>
      </c>
      <c r="E25" s="18">
        <v>6.0</v>
      </c>
      <c r="F25" s="18">
        <v>7.0</v>
      </c>
      <c r="G25" s="18">
        <v>3.0</v>
      </c>
      <c r="H25" s="18">
        <v>7.0</v>
      </c>
      <c r="I25" s="18">
        <v>33.0</v>
      </c>
      <c r="J25" s="15">
        <v>42000.0</v>
      </c>
      <c r="K25" s="7">
        <f t="shared" ref="K25:K27" si="3">I25/J25*10000</f>
        <v>7.857142857</v>
      </c>
    </row>
    <row r="26" ht="15.75" customHeight="1">
      <c r="A26" s="17" t="s">
        <v>55</v>
      </c>
      <c r="B26" s="18">
        <v>0.0</v>
      </c>
      <c r="C26" s="18">
        <v>0.0</v>
      </c>
      <c r="D26" s="18">
        <v>0.0</v>
      </c>
      <c r="E26" s="18">
        <v>3.0</v>
      </c>
      <c r="F26" s="18">
        <v>79.0</v>
      </c>
      <c r="G26" s="18">
        <v>700.0</v>
      </c>
      <c r="H26" s="18">
        <v>833.0</v>
      </c>
      <c r="I26" s="18">
        <v>1615.0</v>
      </c>
      <c r="J26" s="15">
        <v>7331000.0</v>
      </c>
      <c r="K26" s="7">
        <f t="shared" si="3"/>
        <v>2.202973673</v>
      </c>
    </row>
    <row r="27" ht="15.75" customHeight="1">
      <c r="A27" s="17" t="s">
        <v>56</v>
      </c>
      <c r="B27" s="18">
        <v>12.0</v>
      </c>
      <c r="C27" s="18">
        <v>8.0</v>
      </c>
      <c r="D27" s="18">
        <v>9.0</v>
      </c>
      <c r="E27" s="18">
        <v>7.0</v>
      </c>
      <c r="F27" s="18">
        <v>13.0</v>
      </c>
      <c r="G27" s="18">
        <v>14.0</v>
      </c>
      <c r="H27" s="18">
        <v>6.0</v>
      </c>
      <c r="I27" s="18">
        <v>69.0</v>
      </c>
      <c r="J27" s="15">
        <v>34000.0</v>
      </c>
      <c r="K27" s="7">
        <f t="shared" si="3"/>
        <v>20.29411765</v>
      </c>
    </row>
    <row r="28" ht="15.75" customHeight="1">
      <c r="A28" s="17" t="s">
        <v>57</v>
      </c>
      <c r="B28" s="18">
        <v>0.0</v>
      </c>
      <c r="C28" s="18">
        <v>0.0</v>
      </c>
      <c r="D28" s="18">
        <v>0.0</v>
      </c>
      <c r="E28" s="18">
        <v>0.0</v>
      </c>
      <c r="F28" s="18">
        <v>0.0</v>
      </c>
      <c r="G28" s="18">
        <v>1.0</v>
      </c>
      <c r="H28" s="18">
        <v>0.0</v>
      </c>
      <c r="I28" s="18">
        <v>1.0</v>
      </c>
      <c r="K28" s="7"/>
    </row>
    <row r="29" ht="15.75" customHeight="1">
      <c r="A29" s="17" t="s">
        <v>58</v>
      </c>
      <c r="B29" s="18">
        <v>0.0</v>
      </c>
      <c r="C29" s="18">
        <v>0.0</v>
      </c>
      <c r="D29" s="18">
        <v>1.0</v>
      </c>
      <c r="E29" s="18">
        <v>0.0</v>
      </c>
      <c r="F29" s="18">
        <v>1.0</v>
      </c>
      <c r="G29" s="18">
        <v>1.0</v>
      </c>
      <c r="H29" s="18">
        <v>1.0</v>
      </c>
      <c r="I29" s="18">
        <v>4.0</v>
      </c>
      <c r="K29" s="7"/>
    </row>
    <row r="30" ht="15.75" customHeight="1">
      <c r="A30" s="17" t="s">
        <v>59</v>
      </c>
      <c r="B30" s="18">
        <v>0.0</v>
      </c>
      <c r="C30" s="18">
        <v>0.0</v>
      </c>
      <c r="D30" s="18">
        <v>0.0</v>
      </c>
      <c r="E30" s="18">
        <v>1.0</v>
      </c>
      <c r="F30" s="18">
        <v>0.0</v>
      </c>
      <c r="G30" s="18">
        <v>1.0</v>
      </c>
      <c r="H30" s="18">
        <v>1.0</v>
      </c>
      <c r="I30" s="18">
        <v>3.0</v>
      </c>
      <c r="J30" s="15">
        <v>38000.0</v>
      </c>
      <c r="K30" s="7">
        <f>I30/J30*10000</f>
        <v>0.7894736842</v>
      </c>
    </row>
    <row r="31" ht="15.75" customHeight="1">
      <c r="A31" s="17" t="s">
        <v>60</v>
      </c>
      <c r="B31" s="18">
        <v>0.0</v>
      </c>
      <c r="C31" s="18">
        <v>0.0</v>
      </c>
      <c r="D31" s="18">
        <v>0.0</v>
      </c>
      <c r="E31" s="18">
        <v>0.0</v>
      </c>
      <c r="F31" s="18">
        <v>1.0</v>
      </c>
      <c r="G31" s="18">
        <v>0.0</v>
      </c>
      <c r="H31" s="18">
        <v>1.0</v>
      </c>
      <c r="I31" s="18">
        <v>2.0</v>
      </c>
      <c r="K31" s="7"/>
    </row>
    <row r="32" ht="15.75" customHeight="1">
      <c r="A32" s="17" t="s">
        <v>61</v>
      </c>
      <c r="B32" s="18">
        <v>0.0</v>
      </c>
      <c r="C32" s="18">
        <v>0.0</v>
      </c>
      <c r="D32" s="18">
        <v>0.0</v>
      </c>
      <c r="E32" s="18">
        <v>0.0</v>
      </c>
      <c r="F32" s="18">
        <v>0.0</v>
      </c>
      <c r="G32" s="18">
        <v>1.0</v>
      </c>
      <c r="H32" s="18">
        <v>0.0</v>
      </c>
      <c r="I32" s="18">
        <v>1.0</v>
      </c>
      <c r="K32" s="7"/>
    </row>
    <row r="33" ht="15.75" customHeight="1">
      <c r="A33" s="17" t="s">
        <v>62</v>
      </c>
      <c r="B33" s="18">
        <v>0.0</v>
      </c>
      <c r="C33" s="18">
        <v>0.0</v>
      </c>
      <c r="D33" s="18">
        <v>0.0</v>
      </c>
      <c r="E33" s="18">
        <v>1.0</v>
      </c>
      <c r="F33" s="18">
        <v>0.0</v>
      </c>
      <c r="G33" s="18">
        <v>0.0</v>
      </c>
      <c r="H33" s="18">
        <v>0.0</v>
      </c>
      <c r="I33" s="18">
        <v>1.0</v>
      </c>
      <c r="K33" s="7"/>
    </row>
    <row r="34" ht="15.75" customHeight="1">
      <c r="A34" s="17" t="s">
        <v>63</v>
      </c>
      <c r="B34" s="18">
        <v>2.0</v>
      </c>
      <c r="C34" s="18">
        <v>2.0</v>
      </c>
      <c r="D34" s="18">
        <v>2.0</v>
      </c>
      <c r="E34" s="18">
        <v>2.0</v>
      </c>
      <c r="F34" s="18">
        <v>3.0</v>
      </c>
      <c r="G34" s="18">
        <v>6.0</v>
      </c>
      <c r="H34" s="18">
        <v>14.0</v>
      </c>
      <c r="I34" s="18">
        <v>31.0</v>
      </c>
      <c r="J34" s="15">
        <v>56000.0</v>
      </c>
      <c r="K34" s="7">
        <f t="shared" ref="K34:K35" si="4">I34/J34*10000</f>
        <v>5.535714286</v>
      </c>
    </row>
    <row r="35" ht="15.75" customHeight="1">
      <c r="A35" s="17" t="s">
        <v>64</v>
      </c>
      <c r="B35" s="18">
        <v>1.0</v>
      </c>
      <c r="C35" s="18">
        <v>1.0</v>
      </c>
      <c r="D35" s="18">
        <v>10.0</v>
      </c>
      <c r="E35" s="18">
        <v>5.0</v>
      </c>
      <c r="F35" s="18">
        <v>0.0</v>
      </c>
      <c r="G35" s="18">
        <v>3.0</v>
      </c>
      <c r="H35" s="18">
        <v>3.0</v>
      </c>
      <c r="I35" s="18">
        <v>23.0</v>
      </c>
      <c r="J35" s="15">
        <v>20000.0</v>
      </c>
      <c r="K35" s="7">
        <f t="shared" si="4"/>
        <v>11.5</v>
      </c>
    </row>
    <row r="36" ht="15.75" customHeight="1">
      <c r="A36" s="17" t="s">
        <v>65</v>
      </c>
      <c r="B36" s="18">
        <v>1.0</v>
      </c>
      <c r="C36" s="18">
        <v>2.0</v>
      </c>
      <c r="D36" s="18">
        <v>5.0</v>
      </c>
      <c r="E36" s="18">
        <v>1.0</v>
      </c>
      <c r="F36" s="18">
        <v>2.0</v>
      </c>
      <c r="G36" s="18">
        <v>3.0</v>
      </c>
      <c r="H36" s="18">
        <v>5.0</v>
      </c>
      <c r="I36" s="18">
        <v>18.0</v>
      </c>
      <c r="K36" s="7"/>
    </row>
    <row r="37" ht="15.75" customHeight="1">
      <c r="A37" s="17" t="s">
        <v>66</v>
      </c>
      <c r="B37" s="18">
        <v>0.0</v>
      </c>
      <c r="C37" s="18">
        <v>0.0</v>
      </c>
      <c r="D37" s="18">
        <v>0.0</v>
      </c>
      <c r="E37" s="18">
        <v>0.0</v>
      </c>
      <c r="F37" s="18">
        <v>1.0</v>
      </c>
      <c r="G37" s="18">
        <v>0.0</v>
      </c>
      <c r="H37" s="18">
        <v>1.0</v>
      </c>
      <c r="I37" s="18">
        <v>2.0</v>
      </c>
      <c r="K37" s="7"/>
    </row>
    <row r="38" ht="15.75" customHeight="1">
      <c r="A38" s="17" t="s">
        <v>67</v>
      </c>
      <c r="B38" s="18">
        <v>0.0</v>
      </c>
      <c r="C38" s="18">
        <v>0.0</v>
      </c>
      <c r="D38" s="18">
        <v>0.0</v>
      </c>
      <c r="E38" s="18">
        <v>0.0</v>
      </c>
      <c r="F38" s="18">
        <v>1.0</v>
      </c>
      <c r="G38" s="18">
        <v>0.0</v>
      </c>
      <c r="H38" s="18">
        <v>0.0</v>
      </c>
      <c r="I38" s="18">
        <v>1.0</v>
      </c>
      <c r="K38" s="7"/>
    </row>
    <row r="39" ht="15.75" customHeight="1">
      <c r="A39" s="17" t="s">
        <v>68</v>
      </c>
      <c r="B39" s="18">
        <v>0.0</v>
      </c>
      <c r="C39" s="18">
        <v>2.0</v>
      </c>
      <c r="D39" s="18">
        <v>0.0</v>
      </c>
      <c r="E39" s="18">
        <v>2.0</v>
      </c>
      <c r="F39" s="18">
        <v>1.0</v>
      </c>
      <c r="G39" s="18">
        <v>1.0</v>
      </c>
      <c r="H39" s="18">
        <v>1.0</v>
      </c>
      <c r="I39" s="18">
        <v>7.0</v>
      </c>
      <c r="J39" s="15">
        <v>16000.0</v>
      </c>
      <c r="K39" s="7">
        <f t="shared" ref="K39:K41" si="5">I39/J39*10000</f>
        <v>4.375</v>
      </c>
    </row>
    <row r="40" ht="15.75" customHeight="1">
      <c r="A40" s="17" t="s">
        <v>69</v>
      </c>
      <c r="B40" s="18">
        <v>1.0</v>
      </c>
      <c r="C40" s="18">
        <v>1.0</v>
      </c>
      <c r="D40" s="18">
        <v>1.0</v>
      </c>
      <c r="E40" s="18">
        <v>0.0</v>
      </c>
      <c r="F40" s="18">
        <v>0.0</v>
      </c>
      <c r="G40" s="18">
        <v>0.0</v>
      </c>
      <c r="H40" s="18">
        <v>0.0</v>
      </c>
      <c r="I40" s="18">
        <v>3.0</v>
      </c>
      <c r="J40" s="15">
        <v>12000.0</v>
      </c>
      <c r="K40" s="7">
        <f t="shared" si="5"/>
        <v>2.5</v>
      </c>
    </row>
    <row r="41" ht="15.75" customHeight="1">
      <c r="A41" s="17" t="s">
        <v>70</v>
      </c>
      <c r="B41" s="18">
        <v>2.0</v>
      </c>
      <c r="C41" s="18">
        <v>1.0</v>
      </c>
      <c r="D41" s="18">
        <v>1.0</v>
      </c>
      <c r="E41" s="18">
        <v>0.0</v>
      </c>
      <c r="F41" s="18">
        <v>1.0</v>
      </c>
      <c r="G41" s="18">
        <v>1.0</v>
      </c>
      <c r="H41" s="18">
        <v>0.0</v>
      </c>
      <c r="I41" s="18">
        <v>6.0</v>
      </c>
      <c r="J41" s="15">
        <v>20000.0</v>
      </c>
      <c r="K41" s="7">
        <f t="shared" si="5"/>
        <v>3</v>
      </c>
    </row>
    <row r="42" ht="15.75" customHeight="1">
      <c r="A42" s="17" t="s">
        <v>71</v>
      </c>
      <c r="B42" s="18">
        <v>0.0</v>
      </c>
      <c r="C42" s="18">
        <v>0.0</v>
      </c>
      <c r="D42" s="18">
        <v>0.0</v>
      </c>
      <c r="E42" s="18">
        <v>0.0</v>
      </c>
      <c r="F42" s="18">
        <v>1.0</v>
      </c>
      <c r="G42" s="18">
        <v>1.0</v>
      </c>
      <c r="H42" s="18">
        <v>0.0</v>
      </c>
      <c r="I42" s="18">
        <v>2.0</v>
      </c>
      <c r="K42" s="7"/>
    </row>
    <row r="43" ht="15.75" customHeight="1">
      <c r="A43" s="17" t="s">
        <v>72</v>
      </c>
      <c r="B43" s="18">
        <v>0.0</v>
      </c>
      <c r="C43" s="18">
        <v>0.0</v>
      </c>
      <c r="D43" s="18">
        <v>0.0</v>
      </c>
      <c r="E43" s="18">
        <v>1.0</v>
      </c>
      <c r="F43" s="18">
        <v>1.0</v>
      </c>
      <c r="G43" s="18">
        <v>0.0</v>
      </c>
      <c r="H43" s="18">
        <v>1.0</v>
      </c>
      <c r="I43" s="18">
        <v>3.0</v>
      </c>
      <c r="K43" s="7"/>
    </row>
    <row r="44" ht="15.75" customHeight="1">
      <c r="A44" s="17" t="s">
        <v>73</v>
      </c>
      <c r="B44" s="18">
        <v>1.0</v>
      </c>
      <c r="C44" s="18">
        <v>0.0</v>
      </c>
      <c r="D44" s="18">
        <v>0.0</v>
      </c>
      <c r="E44" s="18">
        <v>1.0</v>
      </c>
      <c r="F44" s="18">
        <v>1.0</v>
      </c>
      <c r="G44" s="18">
        <v>3.0</v>
      </c>
      <c r="H44" s="18">
        <v>3.0</v>
      </c>
      <c r="I44" s="18">
        <v>9.0</v>
      </c>
      <c r="J44" s="15">
        <v>9000.0</v>
      </c>
      <c r="K44" s="7">
        <f t="shared" ref="K44:K45" si="6">I44/J44*10000</f>
        <v>10</v>
      </c>
    </row>
    <row r="45" ht="15.75" customHeight="1">
      <c r="A45" s="17" t="s">
        <v>74</v>
      </c>
      <c r="B45" s="18">
        <v>2.0</v>
      </c>
      <c r="C45" s="18">
        <v>2.0</v>
      </c>
      <c r="D45" s="18">
        <v>2.0</v>
      </c>
      <c r="E45" s="18">
        <v>5.0</v>
      </c>
      <c r="F45" s="18">
        <v>6.0</v>
      </c>
      <c r="G45" s="18">
        <v>2.0</v>
      </c>
      <c r="H45" s="18">
        <v>6.0</v>
      </c>
      <c r="I45" s="18">
        <v>23.0</v>
      </c>
      <c r="J45" s="15">
        <v>9000.0</v>
      </c>
      <c r="K45" s="7">
        <f t="shared" si="6"/>
        <v>25.55555556</v>
      </c>
    </row>
    <row r="46" ht="15.75" customHeight="1">
      <c r="A46" s="17" t="s">
        <v>75</v>
      </c>
      <c r="B46" s="18">
        <v>0.0</v>
      </c>
      <c r="C46" s="18">
        <v>0.0</v>
      </c>
      <c r="D46" s="18">
        <v>1.0</v>
      </c>
      <c r="E46" s="18">
        <v>0.0</v>
      </c>
      <c r="F46" s="18">
        <v>0.0</v>
      </c>
      <c r="G46" s="18">
        <v>1.0</v>
      </c>
      <c r="H46" s="18">
        <v>1.0</v>
      </c>
      <c r="I46" s="18">
        <v>3.0</v>
      </c>
      <c r="K46" s="7"/>
    </row>
    <row r="47" ht="15.75" customHeight="1">
      <c r="A47" s="17" t="s">
        <v>76</v>
      </c>
      <c r="B47" s="18">
        <v>1.0</v>
      </c>
      <c r="C47" s="18">
        <v>0.0</v>
      </c>
      <c r="D47" s="18">
        <v>0.0</v>
      </c>
      <c r="E47" s="18">
        <v>1.0</v>
      </c>
      <c r="F47" s="18">
        <v>1.0</v>
      </c>
      <c r="G47" s="18">
        <v>16.0</v>
      </c>
      <c r="H47" s="18">
        <v>22.0</v>
      </c>
      <c r="I47" s="18">
        <v>41.0</v>
      </c>
      <c r="K47" s="7"/>
    </row>
    <row r="48" ht="15.75" customHeight="1">
      <c r="A48" s="17" t="s">
        <v>77</v>
      </c>
      <c r="B48" s="18">
        <v>0.0</v>
      </c>
      <c r="C48" s="18">
        <v>0.0</v>
      </c>
      <c r="D48" s="18">
        <v>0.0</v>
      </c>
      <c r="E48" s="18">
        <v>0.0</v>
      </c>
      <c r="F48" s="18">
        <v>0.0</v>
      </c>
      <c r="G48" s="18">
        <v>0.0</v>
      </c>
      <c r="H48" s="18">
        <v>1.0</v>
      </c>
      <c r="I48" s="18">
        <v>1.0</v>
      </c>
      <c r="K48" s="7"/>
    </row>
    <row r="49" ht="15.75" customHeight="1">
      <c r="A49" s="17" t="s">
        <v>78</v>
      </c>
      <c r="B49" s="18">
        <v>9.0</v>
      </c>
      <c r="C49" s="18">
        <v>2.0</v>
      </c>
      <c r="D49" s="18">
        <v>8.0</v>
      </c>
      <c r="E49" s="18">
        <v>5.0</v>
      </c>
      <c r="F49" s="18">
        <v>7.0</v>
      </c>
      <c r="G49" s="18">
        <v>5.0</v>
      </c>
      <c r="H49" s="18">
        <v>10.0</v>
      </c>
      <c r="I49" s="18">
        <v>46.0</v>
      </c>
      <c r="J49" s="15">
        <v>7000.0</v>
      </c>
      <c r="K49" s="7">
        <f>I49/J49*10000</f>
        <v>65.71428571</v>
      </c>
    </row>
    <row r="50" ht="15.75" customHeight="1">
      <c r="A50" s="17" t="s">
        <v>79</v>
      </c>
      <c r="B50" s="18">
        <v>0.0</v>
      </c>
      <c r="C50" s="18">
        <v>2.0</v>
      </c>
      <c r="D50" s="18">
        <v>2.0</v>
      </c>
      <c r="E50" s="18">
        <v>2.0</v>
      </c>
      <c r="F50" s="18">
        <v>3.0</v>
      </c>
      <c r="G50" s="18">
        <v>0.0</v>
      </c>
      <c r="H50" s="18">
        <v>1.0</v>
      </c>
      <c r="I50" s="18">
        <v>10.0</v>
      </c>
      <c r="K50" s="7"/>
    </row>
    <row r="51" ht="15.75" customHeight="1">
      <c r="A51" s="17" t="s">
        <v>80</v>
      </c>
      <c r="B51" s="18">
        <v>0.0</v>
      </c>
      <c r="C51" s="18">
        <v>0.0</v>
      </c>
      <c r="D51" s="18">
        <v>0.0</v>
      </c>
      <c r="E51" s="18">
        <v>0.0</v>
      </c>
      <c r="F51" s="18">
        <v>1.0</v>
      </c>
      <c r="G51" s="18">
        <v>0.0</v>
      </c>
      <c r="H51" s="18">
        <v>0.0</v>
      </c>
      <c r="I51" s="18">
        <v>1.0</v>
      </c>
      <c r="J51" s="15">
        <v>12000.0</v>
      </c>
      <c r="K51" s="7">
        <f t="shared" ref="K51:K52" si="7">I51/J51*10000</f>
        <v>0.8333333333</v>
      </c>
    </row>
    <row r="52" ht="15.75" customHeight="1">
      <c r="A52" s="17" t="s">
        <v>81</v>
      </c>
      <c r="B52" s="18">
        <v>8.0</v>
      </c>
      <c r="C52" s="18">
        <v>7.0</v>
      </c>
      <c r="D52" s="18">
        <v>6.0</v>
      </c>
      <c r="E52" s="18">
        <v>9.0</v>
      </c>
      <c r="F52" s="18">
        <v>9.0</v>
      </c>
      <c r="G52" s="18">
        <v>7.0</v>
      </c>
      <c r="H52" s="18">
        <v>11.0</v>
      </c>
      <c r="I52" s="18">
        <v>57.0</v>
      </c>
      <c r="J52" s="15">
        <v>86000.0</v>
      </c>
      <c r="K52" s="7">
        <f t="shared" si="7"/>
        <v>6.627906977</v>
      </c>
    </row>
    <row r="53" ht="15.75" customHeight="1">
      <c r="A53" s="17" t="s">
        <v>82</v>
      </c>
      <c r="B53" s="18">
        <v>0.0</v>
      </c>
      <c r="C53" s="18">
        <v>1.0</v>
      </c>
      <c r="D53" s="18">
        <v>1.0</v>
      </c>
      <c r="E53" s="18">
        <v>0.0</v>
      </c>
      <c r="F53" s="18">
        <v>1.0</v>
      </c>
      <c r="G53" s="18">
        <v>2.0</v>
      </c>
      <c r="H53" s="18">
        <v>2.0</v>
      </c>
      <c r="I53" s="18">
        <v>6.0</v>
      </c>
      <c r="K53" s="7"/>
    </row>
    <row r="54" ht="15.75" customHeight="1">
      <c r="A54" s="17" t="s">
        <v>83</v>
      </c>
      <c r="B54" s="18">
        <v>0.0</v>
      </c>
      <c r="C54" s="18">
        <v>0.0</v>
      </c>
      <c r="D54" s="18">
        <v>0.0</v>
      </c>
      <c r="E54" s="18">
        <v>0.0</v>
      </c>
      <c r="F54" s="18">
        <v>1.0</v>
      </c>
      <c r="G54" s="18">
        <v>0.0</v>
      </c>
      <c r="H54" s="18">
        <v>1.0</v>
      </c>
      <c r="I54" s="18">
        <v>2.0</v>
      </c>
      <c r="K54" s="7"/>
    </row>
    <row r="55" ht="15.75" customHeight="1">
      <c r="A55" s="17" t="s">
        <v>84</v>
      </c>
      <c r="B55" s="18">
        <v>3.0</v>
      </c>
      <c r="C55" s="18">
        <v>3.0</v>
      </c>
      <c r="D55" s="18">
        <v>3.0</v>
      </c>
      <c r="E55" s="18">
        <v>3.0</v>
      </c>
      <c r="F55" s="18">
        <v>4.0</v>
      </c>
      <c r="G55" s="18">
        <v>3.0</v>
      </c>
      <c r="H55" s="18">
        <v>4.0</v>
      </c>
      <c r="I55" s="18">
        <v>23.0</v>
      </c>
      <c r="J55" s="15">
        <v>72000.0</v>
      </c>
      <c r="K55" s="7">
        <f t="shared" ref="K55:K57" si="8">I55/J55*10000</f>
        <v>3.194444444</v>
      </c>
    </row>
    <row r="56" ht="15.75" customHeight="1">
      <c r="A56" s="17" t="s">
        <v>85</v>
      </c>
      <c r="B56" s="18">
        <v>5.0</v>
      </c>
      <c r="C56" s="18">
        <v>8.0</v>
      </c>
      <c r="D56" s="18">
        <v>3.0</v>
      </c>
      <c r="E56" s="18">
        <v>3.0</v>
      </c>
      <c r="F56" s="18">
        <v>4.0</v>
      </c>
      <c r="G56" s="18">
        <v>9.0</v>
      </c>
      <c r="H56" s="18">
        <v>9.0</v>
      </c>
      <c r="I56" s="18">
        <v>41.0</v>
      </c>
      <c r="J56" s="15">
        <v>28000.0</v>
      </c>
      <c r="K56" s="7">
        <f t="shared" si="8"/>
        <v>14.64285714</v>
      </c>
    </row>
    <row r="57" ht="15.75" customHeight="1">
      <c r="A57" s="17" t="s">
        <v>86</v>
      </c>
      <c r="B57" s="18">
        <v>6.0</v>
      </c>
      <c r="C57" s="18">
        <v>2.0</v>
      </c>
      <c r="D57" s="18">
        <v>2.0</v>
      </c>
      <c r="E57" s="18">
        <v>3.0</v>
      </c>
      <c r="F57" s="18">
        <v>0.0</v>
      </c>
      <c r="G57" s="18">
        <v>3.0</v>
      </c>
      <c r="H57" s="18">
        <v>3.0</v>
      </c>
      <c r="I57" s="18">
        <v>19.0</v>
      </c>
      <c r="J57" s="15">
        <v>42000.0</v>
      </c>
      <c r="K57" s="7">
        <f t="shared" si="8"/>
        <v>4.523809524</v>
      </c>
    </row>
    <row r="58" ht="15.75" customHeight="1">
      <c r="A58" s="17" t="s">
        <v>87</v>
      </c>
      <c r="B58" s="18">
        <v>1.0</v>
      </c>
      <c r="C58" s="18">
        <v>0.0</v>
      </c>
      <c r="D58" s="18">
        <v>0.0</v>
      </c>
      <c r="E58" s="18">
        <v>0.0</v>
      </c>
      <c r="F58" s="18">
        <v>0.0</v>
      </c>
      <c r="G58" s="18">
        <v>1.0</v>
      </c>
      <c r="H58" s="18">
        <v>1.0</v>
      </c>
      <c r="I58" s="18">
        <v>3.0</v>
      </c>
      <c r="K58" s="7"/>
    </row>
    <row r="59" ht="15.75" customHeight="1">
      <c r="A59" s="17" t="s">
        <v>88</v>
      </c>
      <c r="B59" s="18">
        <v>1.0</v>
      </c>
      <c r="C59" s="18">
        <v>0.0</v>
      </c>
      <c r="D59" s="18">
        <v>0.0</v>
      </c>
      <c r="E59" s="18">
        <v>0.0</v>
      </c>
      <c r="F59" s="18">
        <v>0.0</v>
      </c>
      <c r="G59" s="18">
        <v>1.0</v>
      </c>
      <c r="H59" s="18">
        <v>1.0</v>
      </c>
      <c r="I59" s="18">
        <v>3.0</v>
      </c>
      <c r="K59" s="7"/>
    </row>
    <row r="60" ht="15.75" customHeight="1">
      <c r="A60" s="17" t="s">
        <v>89</v>
      </c>
      <c r="B60" s="18">
        <v>0.0</v>
      </c>
      <c r="C60" s="18">
        <v>0.0</v>
      </c>
      <c r="D60" s="18">
        <v>0.0</v>
      </c>
      <c r="E60" s="18">
        <v>0.0</v>
      </c>
      <c r="F60" s="18">
        <v>0.0</v>
      </c>
      <c r="G60" s="18">
        <v>1.0</v>
      </c>
      <c r="H60" s="18">
        <v>0.0</v>
      </c>
      <c r="I60" s="18">
        <v>1.0</v>
      </c>
      <c r="K60" s="7"/>
    </row>
    <row r="61" ht="15.75" customHeight="1">
      <c r="A61" s="17" t="s">
        <v>90</v>
      </c>
      <c r="B61" s="18">
        <v>0.0</v>
      </c>
      <c r="C61" s="18">
        <v>0.0</v>
      </c>
      <c r="D61" s="18">
        <v>0.0</v>
      </c>
      <c r="E61" s="18">
        <v>1.0</v>
      </c>
      <c r="F61" s="18">
        <v>0.0</v>
      </c>
      <c r="G61" s="18">
        <v>1.0</v>
      </c>
      <c r="H61" s="18">
        <v>1.0</v>
      </c>
      <c r="I61" s="18">
        <v>3.0</v>
      </c>
      <c r="K61" s="7"/>
    </row>
    <row r="62" ht="15.75" customHeight="1">
      <c r="A62" s="17" t="s">
        <v>91</v>
      </c>
      <c r="B62" s="18">
        <v>6.0</v>
      </c>
      <c r="C62" s="18">
        <v>2.0</v>
      </c>
      <c r="D62" s="18">
        <v>3.0</v>
      </c>
      <c r="E62" s="18">
        <v>3.0</v>
      </c>
      <c r="F62" s="18">
        <v>4.0</v>
      </c>
      <c r="G62" s="18">
        <v>2.0</v>
      </c>
      <c r="H62" s="18">
        <v>1.0</v>
      </c>
      <c r="I62" s="18">
        <v>21.0</v>
      </c>
      <c r="J62" s="15">
        <v>58000.0</v>
      </c>
      <c r="K62" s="7">
        <f t="shared" ref="K62:K69" si="9">I62/J62*10000</f>
        <v>3.620689655</v>
      </c>
    </row>
    <row r="63" ht="15.75" customHeight="1">
      <c r="A63" s="17" t="s">
        <v>92</v>
      </c>
      <c r="B63" s="18">
        <v>15.0</v>
      </c>
      <c r="C63" s="18">
        <v>18.0</v>
      </c>
      <c r="D63" s="18">
        <v>22.0</v>
      </c>
      <c r="E63" s="18">
        <v>19.0</v>
      </c>
      <c r="F63" s="18">
        <v>32.0</v>
      </c>
      <c r="G63" s="18">
        <v>35.0</v>
      </c>
      <c r="H63" s="18">
        <v>52.0</v>
      </c>
      <c r="I63" s="18">
        <v>193.0</v>
      </c>
      <c r="J63" s="15">
        <v>165000.0</v>
      </c>
      <c r="K63" s="7">
        <f t="shared" si="9"/>
        <v>11.6969697</v>
      </c>
    </row>
    <row r="64" ht="15.75" customHeight="1">
      <c r="A64" s="17" t="s">
        <v>93</v>
      </c>
      <c r="B64" s="18">
        <v>0.0</v>
      </c>
      <c r="C64" s="18">
        <v>0.0</v>
      </c>
      <c r="D64" s="18">
        <v>1.0</v>
      </c>
      <c r="E64" s="18">
        <v>0.0</v>
      </c>
      <c r="F64" s="18">
        <v>0.0</v>
      </c>
      <c r="G64" s="18">
        <v>0.0</v>
      </c>
      <c r="H64" s="18">
        <v>1.0</v>
      </c>
      <c r="I64" s="18">
        <v>2.0</v>
      </c>
      <c r="J64" s="15">
        <v>15000.0</v>
      </c>
      <c r="K64" s="7">
        <f t="shared" si="9"/>
        <v>1.333333333</v>
      </c>
    </row>
    <row r="65" ht="15.75" customHeight="1">
      <c r="A65" s="17" t="s">
        <v>94</v>
      </c>
      <c r="B65" s="18">
        <v>5.0</v>
      </c>
      <c r="C65" s="18">
        <v>3.0</v>
      </c>
      <c r="D65" s="18">
        <v>7.0</v>
      </c>
      <c r="E65" s="18">
        <v>5.0</v>
      </c>
      <c r="F65" s="18">
        <v>6.0</v>
      </c>
      <c r="G65" s="18">
        <v>6.0</v>
      </c>
      <c r="H65" s="18">
        <v>18.0</v>
      </c>
      <c r="I65" s="18">
        <v>50.0</v>
      </c>
      <c r="J65" s="15">
        <v>19000.0</v>
      </c>
      <c r="K65" s="7">
        <f t="shared" si="9"/>
        <v>26.31578947</v>
      </c>
    </row>
    <row r="66" ht="15.75" customHeight="1">
      <c r="A66" s="17" t="s">
        <v>95</v>
      </c>
      <c r="B66" s="18">
        <v>2.0</v>
      </c>
      <c r="C66" s="18">
        <v>2.0</v>
      </c>
      <c r="D66" s="18">
        <v>2.0</v>
      </c>
      <c r="E66" s="18">
        <v>5.0</v>
      </c>
      <c r="F66" s="18">
        <v>2.0</v>
      </c>
      <c r="G66" s="18">
        <v>2.0</v>
      </c>
      <c r="H66" s="18">
        <v>6.0</v>
      </c>
      <c r="I66" s="18">
        <v>21.0</v>
      </c>
      <c r="J66" s="15">
        <v>7000.0</v>
      </c>
      <c r="K66" s="7">
        <f t="shared" si="9"/>
        <v>30</v>
      </c>
    </row>
    <row r="67" ht="15.75" customHeight="1">
      <c r="A67" s="17" t="s">
        <v>96</v>
      </c>
      <c r="B67" s="18">
        <v>10.0</v>
      </c>
      <c r="C67" s="18">
        <v>10.0</v>
      </c>
      <c r="D67" s="18">
        <v>6.0</v>
      </c>
      <c r="E67" s="18">
        <v>9.0</v>
      </c>
      <c r="F67" s="18">
        <v>10.0</v>
      </c>
      <c r="G67" s="18">
        <v>9.0</v>
      </c>
      <c r="H67" s="18">
        <v>17.0</v>
      </c>
      <c r="I67" s="18">
        <v>71.0</v>
      </c>
      <c r="J67" s="15">
        <v>119000.0</v>
      </c>
      <c r="K67" s="7">
        <f t="shared" si="9"/>
        <v>5.966386555</v>
      </c>
    </row>
    <row r="68" ht="15.75" customHeight="1">
      <c r="A68" s="17" t="s">
        <v>97</v>
      </c>
      <c r="B68" s="18">
        <v>0.0</v>
      </c>
      <c r="C68" s="18">
        <v>1.0</v>
      </c>
      <c r="D68" s="18">
        <v>1.0</v>
      </c>
      <c r="E68" s="18">
        <v>0.0</v>
      </c>
      <c r="F68" s="18">
        <v>0.0</v>
      </c>
      <c r="G68" s="18">
        <v>0.0</v>
      </c>
      <c r="H68" s="18">
        <v>0.0</v>
      </c>
      <c r="I68" s="18">
        <v>2.0</v>
      </c>
      <c r="J68" s="15">
        <v>22000.0</v>
      </c>
      <c r="K68" s="7">
        <f t="shared" si="9"/>
        <v>0.9090909091</v>
      </c>
    </row>
    <row r="69" ht="15.75" customHeight="1">
      <c r="A69" s="17" t="s">
        <v>98</v>
      </c>
      <c r="B69" s="18">
        <v>22.0</v>
      </c>
      <c r="C69" s="18">
        <v>14.0</v>
      </c>
      <c r="D69" s="18">
        <v>13.0</v>
      </c>
      <c r="E69" s="18">
        <v>22.0</v>
      </c>
      <c r="F69" s="18">
        <v>17.0</v>
      </c>
      <c r="G69" s="18">
        <v>10.0</v>
      </c>
      <c r="H69" s="18">
        <v>15.0</v>
      </c>
      <c r="I69" s="18">
        <v>113.0</v>
      </c>
      <c r="J69" s="15">
        <v>175000.0</v>
      </c>
      <c r="K69" s="7">
        <f t="shared" si="9"/>
        <v>6.457142857</v>
      </c>
    </row>
    <row r="70" ht="15.75" customHeight="1">
      <c r="A70" s="17" t="s">
        <v>99</v>
      </c>
      <c r="B70" s="18">
        <v>0.0</v>
      </c>
      <c r="C70" s="18">
        <v>1.0</v>
      </c>
      <c r="D70" s="18">
        <v>0.0</v>
      </c>
      <c r="E70" s="18">
        <v>1.0</v>
      </c>
      <c r="F70" s="18">
        <v>0.0</v>
      </c>
      <c r="G70" s="18">
        <v>1.0</v>
      </c>
      <c r="H70" s="18">
        <v>1.0</v>
      </c>
      <c r="I70" s="18">
        <v>4.0</v>
      </c>
      <c r="K70" s="7"/>
    </row>
    <row r="71" ht="15.75" customHeight="1">
      <c r="A71" s="17" t="s">
        <v>100</v>
      </c>
      <c r="B71" s="18">
        <v>9.0</v>
      </c>
      <c r="C71" s="18">
        <v>2.0</v>
      </c>
      <c r="D71" s="18">
        <v>11.0</v>
      </c>
      <c r="E71" s="18">
        <v>6.0</v>
      </c>
      <c r="F71" s="18">
        <v>14.0</v>
      </c>
      <c r="G71" s="18">
        <v>11.0</v>
      </c>
      <c r="H71" s="18">
        <v>13.0</v>
      </c>
      <c r="I71" s="18">
        <v>66.0</v>
      </c>
      <c r="J71" s="15">
        <v>38000.0</v>
      </c>
      <c r="K71" s="7">
        <f t="shared" ref="K71:K72" si="10">I71/J71*10000</f>
        <v>17.36842105</v>
      </c>
    </row>
    <row r="72" ht="15.75" customHeight="1">
      <c r="A72" s="17" t="s">
        <v>101</v>
      </c>
      <c r="B72" s="18">
        <v>1.0</v>
      </c>
      <c r="C72" s="18">
        <v>0.0</v>
      </c>
      <c r="D72" s="18">
        <v>0.0</v>
      </c>
      <c r="E72" s="18">
        <v>0.0</v>
      </c>
      <c r="F72" s="18">
        <v>0.0</v>
      </c>
      <c r="G72" s="18">
        <v>0.0</v>
      </c>
      <c r="H72" s="18">
        <v>1.0</v>
      </c>
      <c r="I72" s="18">
        <v>2.0</v>
      </c>
      <c r="J72" s="15">
        <v>37000.0</v>
      </c>
      <c r="K72" s="7">
        <f t="shared" si="10"/>
        <v>0.5405405405</v>
      </c>
    </row>
    <row r="73" ht="15.75" customHeight="1">
      <c r="A73" s="17" t="s">
        <v>102</v>
      </c>
      <c r="B73" s="18">
        <v>0.0</v>
      </c>
      <c r="C73" s="18">
        <v>0.0</v>
      </c>
      <c r="D73" s="18">
        <v>0.0</v>
      </c>
      <c r="E73" s="18">
        <v>1.0</v>
      </c>
      <c r="F73" s="18">
        <v>1.0</v>
      </c>
      <c r="G73" s="18">
        <v>0.0</v>
      </c>
      <c r="H73" s="18">
        <v>1.0</v>
      </c>
      <c r="I73" s="18">
        <v>3.0</v>
      </c>
      <c r="K73" s="7"/>
    </row>
    <row r="74" ht="15.75" customHeight="1">
      <c r="A74" s="17" t="s">
        <v>103</v>
      </c>
      <c r="B74" s="18">
        <v>0.0</v>
      </c>
      <c r="C74" s="18">
        <v>1.0</v>
      </c>
      <c r="D74" s="18">
        <v>0.0</v>
      </c>
      <c r="E74" s="18">
        <v>0.0</v>
      </c>
      <c r="F74" s="18">
        <v>1.0</v>
      </c>
      <c r="G74" s="18">
        <v>0.0</v>
      </c>
      <c r="H74" s="18">
        <v>0.0</v>
      </c>
      <c r="I74" s="18">
        <v>2.0</v>
      </c>
      <c r="K74" s="7"/>
    </row>
    <row r="75" ht="15.75" customHeight="1">
      <c r="A75" s="17" t="s">
        <v>104</v>
      </c>
      <c r="B75" s="18">
        <v>2.0</v>
      </c>
      <c r="C75" s="18">
        <v>2.0</v>
      </c>
      <c r="D75" s="18">
        <v>2.0</v>
      </c>
      <c r="E75" s="18">
        <v>2.0</v>
      </c>
      <c r="F75" s="18">
        <v>3.0</v>
      </c>
      <c r="G75" s="18">
        <v>1.0</v>
      </c>
      <c r="H75" s="18">
        <v>0.0</v>
      </c>
      <c r="I75" s="18">
        <v>12.0</v>
      </c>
      <c r="J75" s="15">
        <v>5000.0</v>
      </c>
      <c r="K75" s="7">
        <f t="shared" ref="K75:K77" si="11">I75/J75*10000</f>
        <v>24</v>
      </c>
    </row>
    <row r="76" ht="15.75" customHeight="1">
      <c r="A76" s="17" t="s">
        <v>105</v>
      </c>
      <c r="B76" s="18">
        <v>1.0</v>
      </c>
      <c r="C76" s="18">
        <v>0.0</v>
      </c>
      <c r="D76" s="18">
        <v>0.0</v>
      </c>
      <c r="E76" s="18">
        <v>0.0</v>
      </c>
      <c r="F76" s="18">
        <v>0.0</v>
      </c>
      <c r="G76" s="18">
        <v>0.0</v>
      </c>
      <c r="H76" s="18">
        <v>0.0</v>
      </c>
      <c r="I76" s="18">
        <v>1.0</v>
      </c>
      <c r="J76" s="15">
        <v>7000.0</v>
      </c>
      <c r="K76" s="7">
        <f t="shared" si="11"/>
        <v>1.428571429</v>
      </c>
    </row>
    <row r="77" ht="15.75" customHeight="1">
      <c r="A77" s="17" t="s">
        <v>106</v>
      </c>
      <c r="B77" s="18">
        <v>1.0</v>
      </c>
      <c r="C77" s="18">
        <v>1.0</v>
      </c>
      <c r="D77" s="18">
        <v>0.0</v>
      </c>
      <c r="E77" s="18">
        <v>0.0</v>
      </c>
      <c r="F77" s="18">
        <v>1.0</v>
      </c>
      <c r="G77" s="18">
        <v>0.0</v>
      </c>
      <c r="H77" s="18">
        <v>1.0</v>
      </c>
      <c r="I77" s="18">
        <v>4.0</v>
      </c>
      <c r="J77" s="15">
        <v>12000.0</v>
      </c>
      <c r="K77" s="7">
        <f t="shared" si="11"/>
        <v>3.333333333</v>
      </c>
    </row>
    <row r="78" ht="15.75" customHeight="1">
      <c r="A78" s="17" t="s">
        <v>107</v>
      </c>
      <c r="B78" s="18">
        <v>0.0</v>
      </c>
      <c r="C78" s="18">
        <v>2.0</v>
      </c>
      <c r="D78" s="18">
        <v>0.0</v>
      </c>
      <c r="E78" s="18">
        <v>3.0</v>
      </c>
      <c r="F78" s="18">
        <v>0.0</v>
      </c>
      <c r="G78" s="18">
        <v>1.0</v>
      </c>
      <c r="H78" s="18">
        <v>1.0</v>
      </c>
      <c r="I78" s="18">
        <v>7.0</v>
      </c>
      <c r="K78" s="7"/>
    </row>
    <row r="79" ht="15.75" customHeight="1">
      <c r="A79" s="17" t="s">
        <v>108</v>
      </c>
      <c r="B79" s="18">
        <v>2.0</v>
      </c>
      <c r="C79" s="18">
        <v>2.0</v>
      </c>
      <c r="D79" s="18">
        <v>0.0</v>
      </c>
      <c r="E79" s="18">
        <v>3.0</v>
      </c>
      <c r="F79" s="18">
        <v>3.0</v>
      </c>
      <c r="G79" s="18">
        <v>5.0</v>
      </c>
      <c r="H79" s="18">
        <v>7.0</v>
      </c>
      <c r="I79" s="18">
        <v>22.0</v>
      </c>
      <c r="K79" s="7"/>
    </row>
    <row r="80" ht="15.75" customHeight="1">
      <c r="A80" s="17" t="s">
        <v>109</v>
      </c>
      <c r="B80" s="18">
        <v>0.0</v>
      </c>
      <c r="C80" s="18">
        <v>0.0</v>
      </c>
      <c r="D80" s="18">
        <v>0.0</v>
      </c>
      <c r="E80" s="18">
        <v>0.0</v>
      </c>
      <c r="F80" s="18">
        <v>0.0</v>
      </c>
      <c r="G80" s="18">
        <v>1.0</v>
      </c>
      <c r="H80" s="18">
        <v>0.0</v>
      </c>
      <c r="I80" s="18">
        <v>1.0</v>
      </c>
      <c r="K80" s="7"/>
    </row>
    <row r="81" ht="15.75" customHeight="1">
      <c r="A81" s="17" t="s">
        <v>110</v>
      </c>
      <c r="B81" s="18">
        <v>2.0</v>
      </c>
      <c r="C81" s="18">
        <v>2.0</v>
      </c>
      <c r="D81" s="18">
        <v>0.0</v>
      </c>
      <c r="E81" s="18">
        <v>2.0</v>
      </c>
      <c r="F81" s="18">
        <v>2.0</v>
      </c>
      <c r="G81" s="18">
        <v>2.0</v>
      </c>
      <c r="H81" s="18">
        <v>3.0</v>
      </c>
      <c r="I81" s="18">
        <v>13.0</v>
      </c>
      <c r="J81" s="15">
        <v>17000.0</v>
      </c>
      <c r="K81" s="7">
        <f t="shared" ref="K81:K82" si="12">I81/J81*10000</f>
        <v>7.647058824</v>
      </c>
    </row>
    <row r="82" ht="15.75" customHeight="1">
      <c r="A82" s="17" t="s">
        <v>111</v>
      </c>
      <c r="B82" s="18">
        <v>2.0</v>
      </c>
      <c r="C82" s="18">
        <v>1.0</v>
      </c>
      <c r="D82" s="18">
        <v>1.0</v>
      </c>
      <c r="E82" s="18">
        <v>0.0</v>
      </c>
      <c r="F82" s="18">
        <v>1.0</v>
      </c>
      <c r="G82" s="18">
        <v>0.0</v>
      </c>
      <c r="H82" s="18">
        <v>0.0</v>
      </c>
      <c r="I82" s="18">
        <v>5.0</v>
      </c>
      <c r="J82" s="15">
        <v>12000.0</v>
      </c>
      <c r="K82" s="7">
        <f t="shared" si="12"/>
        <v>4.166666667</v>
      </c>
    </row>
    <row r="83" ht="15.75" customHeight="1">
      <c r="A83" s="17" t="s">
        <v>112</v>
      </c>
      <c r="B83" s="18">
        <v>0.0</v>
      </c>
      <c r="C83" s="18">
        <v>0.0</v>
      </c>
      <c r="D83" s="18">
        <v>0.0</v>
      </c>
      <c r="E83" s="18">
        <v>1.0</v>
      </c>
      <c r="F83" s="18">
        <v>0.0</v>
      </c>
      <c r="G83" s="18">
        <v>0.0</v>
      </c>
      <c r="H83" s="18">
        <v>0.0</v>
      </c>
      <c r="I83" s="18">
        <v>1.0</v>
      </c>
      <c r="K83" s="7"/>
    </row>
    <row r="84" ht="15.75" customHeight="1">
      <c r="A84" s="17" t="s">
        <v>113</v>
      </c>
      <c r="B84" s="18">
        <v>11.0</v>
      </c>
      <c r="C84" s="18">
        <v>1.0</v>
      </c>
      <c r="D84" s="18">
        <v>5.0</v>
      </c>
      <c r="E84" s="18">
        <v>6.0</v>
      </c>
      <c r="F84" s="18">
        <v>10.0</v>
      </c>
      <c r="G84" s="18">
        <v>6.0</v>
      </c>
      <c r="H84" s="18">
        <v>9.0</v>
      </c>
      <c r="I84" s="18">
        <v>48.0</v>
      </c>
      <c r="J84" s="15">
        <v>61000.0</v>
      </c>
      <c r="K84" s="7">
        <f t="shared" ref="K84:K87" si="13">I84/J84*10000</f>
        <v>7.868852459</v>
      </c>
    </row>
    <row r="85" ht="15.75" customHeight="1">
      <c r="A85" s="17" t="s">
        <v>114</v>
      </c>
      <c r="B85" s="18">
        <v>1.0</v>
      </c>
      <c r="C85" s="18">
        <v>0.0</v>
      </c>
      <c r="D85" s="18">
        <v>1.0</v>
      </c>
      <c r="E85" s="18">
        <v>1.0</v>
      </c>
      <c r="F85" s="18">
        <v>0.0</v>
      </c>
      <c r="G85" s="18">
        <v>0.0</v>
      </c>
      <c r="H85" s="18">
        <v>0.0</v>
      </c>
      <c r="I85" s="18">
        <v>3.0</v>
      </c>
      <c r="J85" s="15">
        <v>22000.0</v>
      </c>
      <c r="K85" s="7">
        <f t="shared" si="13"/>
        <v>1.363636364</v>
      </c>
    </row>
    <row r="86" ht="15.75" customHeight="1">
      <c r="A86" s="17" t="s">
        <v>115</v>
      </c>
      <c r="B86" s="18">
        <v>0.0</v>
      </c>
      <c r="C86" s="18">
        <v>1.0</v>
      </c>
      <c r="D86" s="18">
        <v>1.0</v>
      </c>
      <c r="E86" s="18">
        <v>0.0</v>
      </c>
      <c r="F86" s="18">
        <v>1.0</v>
      </c>
      <c r="G86" s="18">
        <v>1.0</v>
      </c>
      <c r="H86" s="18">
        <v>1.0</v>
      </c>
      <c r="I86" s="18">
        <v>5.0</v>
      </c>
      <c r="J86" s="15">
        <v>16000.0</v>
      </c>
      <c r="K86" s="7">
        <f t="shared" si="13"/>
        <v>3.125</v>
      </c>
    </row>
    <row r="87" ht="15.75" customHeight="1">
      <c r="A87" s="17" t="s">
        <v>116</v>
      </c>
      <c r="B87" s="18">
        <v>1.0</v>
      </c>
      <c r="C87" s="18">
        <v>0.0</v>
      </c>
      <c r="D87" s="18">
        <v>0.0</v>
      </c>
      <c r="E87" s="18">
        <v>0.0</v>
      </c>
      <c r="F87" s="18">
        <v>0.0</v>
      </c>
      <c r="G87" s="18">
        <v>0.0</v>
      </c>
      <c r="H87" s="18">
        <v>0.0</v>
      </c>
      <c r="I87" s="18">
        <v>1.0</v>
      </c>
      <c r="J87" s="15">
        <v>16000.0</v>
      </c>
      <c r="K87" s="7">
        <f t="shared" si="13"/>
        <v>0.625</v>
      </c>
    </row>
    <row r="88" ht="15.75" customHeight="1">
      <c r="A88" s="17" t="s">
        <v>117</v>
      </c>
      <c r="B88" s="18">
        <v>2.0</v>
      </c>
      <c r="C88" s="18">
        <v>0.0</v>
      </c>
      <c r="D88" s="18">
        <v>2.0</v>
      </c>
      <c r="E88" s="18">
        <v>2.0</v>
      </c>
      <c r="F88" s="18">
        <v>3.0</v>
      </c>
      <c r="G88" s="18">
        <v>1.0</v>
      </c>
      <c r="H88" s="18">
        <v>1.0</v>
      </c>
      <c r="I88" s="18">
        <v>12.0</v>
      </c>
      <c r="K88" s="7"/>
    </row>
    <row r="89" ht="15.75" customHeight="1">
      <c r="A89" s="17" t="s">
        <v>118</v>
      </c>
      <c r="B89" s="18">
        <v>0.0</v>
      </c>
      <c r="C89" s="18">
        <v>0.0</v>
      </c>
      <c r="D89" s="18">
        <v>1.0</v>
      </c>
      <c r="E89" s="18">
        <v>0.0</v>
      </c>
      <c r="F89" s="18">
        <v>0.0</v>
      </c>
      <c r="G89" s="18">
        <v>0.0</v>
      </c>
      <c r="H89" s="18">
        <v>0.0</v>
      </c>
      <c r="I89" s="18">
        <v>1.0</v>
      </c>
      <c r="K89" s="7"/>
    </row>
    <row r="90" ht="15.75" customHeight="1">
      <c r="A90" s="17" t="s">
        <v>119</v>
      </c>
      <c r="B90" s="18">
        <v>0.0</v>
      </c>
      <c r="C90" s="18">
        <v>0.0</v>
      </c>
      <c r="D90" s="18">
        <v>0.0</v>
      </c>
      <c r="E90" s="18">
        <v>0.0</v>
      </c>
      <c r="F90" s="18">
        <v>1.0</v>
      </c>
      <c r="G90" s="18">
        <v>0.0</v>
      </c>
      <c r="H90" s="18">
        <v>0.0</v>
      </c>
      <c r="I90" s="18">
        <v>1.0</v>
      </c>
      <c r="K90" s="7"/>
    </row>
    <row r="91" ht="15.75" customHeight="1">
      <c r="A91" s="17" t="s">
        <v>120</v>
      </c>
      <c r="B91" s="18">
        <v>1.0</v>
      </c>
      <c r="C91" s="18">
        <v>0.0</v>
      </c>
      <c r="D91" s="18">
        <v>0.0</v>
      </c>
      <c r="E91" s="18">
        <v>0.0</v>
      </c>
      <c r="F91" s="18">
        <v>0.0</v>
      </c>
      <c r="G91" s="18">
        <v>0.0</v>
      </c>
      <c r="H91" s="18">
        <v>0.0</v>
      </c>
      <c r="I91" s="18">
        <v>1.0</v>
      </c>
      <c r="K91" s="7"/>
    </row>
    <row r="92" ht="15.75" customHeight="1">
      <c r="A92" s="17" t="s">
        <v>121</v>
      </c>
      <c r="B92" s="18">
        <v>2.0</v>
      </c>
      <c r="C92" s="18">
        <v>2.0</v>
      </c>
      <c r="D92" s="18">
        <v>2.0</v>
      </c>
      <c r="E92" s="18">
        <v>2.0</v>
      </c>
      <c r="F92" s="18">
        <v>2.0</v>
      </c>
      <c r="G92" s="18">
        <v>5.0</v>
      </c>
      <c r="H92" s="18">
        <v>8.0</v>
      </c>
      <c r="I92" s="18">
        <v>23.0</v>
      </c>
      <c r="J92" s="15">
        <v>9000.0</v>
      </c>
      <c r="K92" s="7">
        <f>I92/J92*10000</f>
        <v>25.55555556</v>
      </c>
    </row>
    <row r="93" ht="15.75" customHeight="1">
      <c r="A93" s="17" t="s">
        <v>122</v>
      </c>
      <c r="B93" s="18">
        <v>0.0</v>
      </c>
      <c r="C93" s="18">
        <v>0.0</v>
      </c>
      <c r="D93" s="18">
        <v>1.0</v>
      </c>
      <c r="E93" s="18">
        <v>0.0</v>
      </c>
      <c r="F93" s="18">
        <v>0.0</v>
      </c>
      <c r="G93" s="18">
        <v>1.0</v>
      </c>
      <c r="H93" s="18">
        <v>0.0</v>
      </c>
      <c r="I93" s="18">
        <v>2.0</v>
      </c>
      <c r="K93" s="7"/>
    </row>
    <row r="94" ht="15.75" customHeight="1">
      <c r="A94" s="17" t="s">
        <v>123</v>
      </c>
      <c r="B94" s="18">
        <v>0.0</v>
      </c>
      <c r="C94" s="18">
        <v>1.0</v>
      </c>
      <c r="D94" s="18">
        <v>1.0</v>
      </c>
      <c r="E94" s="18">
        <v>0.0</v>
      </c>
      <c r="F94" s="18">
        <v>0.0</v>
      </c>
      <c r="G94" s="18">
        <v>2.0</v>
      </c>
      <c r="H94" s="18">
        <v>2.0</v>
      </c>
      <c r="I94" s="18">
        <v>7.0</v>
      </c>
      <c r="J94" s="15">
        <v>9000.0</v>
      </c>
      <c r="K94" s="7">
        <f t="shared" ref="K94:K96" si="14">I94/J94*10000</f>
        <v>7.777777778</v>
      </c>
    </row>
    <row r="95" ht="15.75" customHeight="1">
      <c r="A95" s="17" t="s">
        <v>124</v>
      </c>
      <c r="B95" s="18">
        <v>2.0</v>
      </c>
      <c r="C95" s="18">
        <v>2.0</v>
      </c>
      <c r="D95" s="18">
        <v>5.0</v>
      </c>
      <c r="E95" s="18">
        <v>2.0</v>
      </c>
      <c r="F95" s="18">
        <v>7.0</v>
      </c>
      <c r="G95" s="18">
        <v>3.0</v>
      </c>
      <c r="H95" s="18">
        <v>5.0</v>
      </c>
      <c r="I95" s="18">
        <v>26.0</v>
      </c>
      <c r="J95" s="15">
        <v>31000.0</v>
      </c>
      <c r="K95" s="7">
        <f t="shared" si="14"/>
        <v>8.387096774</v>
      </c>
    </row>
    <row r="96" ht="15.75" customHeight="1">
      <c r="A96" s="17" t="s">
        <v>125</v>
      </c>
      <c r="B96" s="18">
        <v>1.0</v>
      </c>
      <c r="C96" s="18">
        <v>2.0</v>
      </c>
      <c r="D96" s="18">
        <v>0.0</v>
      </c>
      <c r="E96" s="18">
        <v>2.0</v>
      </c>
      <c r="F96" s="18">
        <v>0.0</v>
      </c>
      <c r="G96" s="18">
        <v>1.0</v>
      </c>
      <c r="H96" s="18">
        <v>0.0</v>
      </c>
      <c r="I96" s="18">
        <v>6.0</v>
      </c>
      <c r="J96" s="15">
        <v>24000.0</v>
      </c>
      <c r="K96" s="7">
        <f t="shared" si="14"/>
        <v>2.5</v>
      </c>
    </row>
    <row r="97" ht="15.75" customHeight="1">
      <c r="A97" s="17" t="s">
        <v>126</v>
      </c>
      <c r="B97" s="18">
        <v>0.0</v>
      </c>
      <c r="C97" s="18">
        <v>0.0</v>
      </c>
      <c r="D97" s="18">
        <v>0.0</v>
      </c>
      <c r="E97" s="18">
        <v>0.0</v>
      </c>
      <c r="F97" s="18">
        <v>1.0</v>
      </c>
      <c r="G97" s="18">
        <v>0.0</v>
      </c>
      <c r="H97" s="18">
        <v>0.0</v>
      </c>
      <c r="I97" s="18">
        <v>1.0</v>
      </c>
      <c r="K97" s="7"/>
    </row>
    <row r="98" ht="15.75" customHeight="1">
      <c r="A98" s="17" t="s">
        <v>127</v>
      </c>
      <c r="B98" s="18">
        <v>11.0</v>
      </c>
      <c r="C98" s="18">
        <v>9.0</v>
      </c>
      <c r="D98" s="18">
        <v>11.0</v>
      </c>
      <c r="E98" s="18">
        <v>14.0</v>
      </c>
      <c r="F98" s="18">
        <v>14.0</v>
      </c>
      <c r="G98" s="18">
        <v>19.0</v>
      </c>
      <c r="H98" s="18">
        <v>27.0</v>
      </c>
      <c r="I98" s="18">
        <v>105.0</v>
      </c>
      <c r="J98" s="15">
        <v>82000.0</v>
      </c>
      <c r="K98" s="7">
        <f>I98/J98*10000</f>
        <v>12.80487805</v>
      </c>
    </row>
    <row r="99" ht="15.75" customHeight="1">
      <c r="A99" s="17" t="s">
        <v>128</v>
      </c>
      <c r="B99" s="18">
        <v>1.0</v>
      </c>
      <c r="C99" s="18">
        <v>0.0</v>
      </c>
      <c r="D99" s="18">
        <v>0.0</v>
      </c>
      <c r="E99" s="18">
        <v>0.0</v>
      </c>
      <c r="F99" s="18">
        <v>1.0</v>
      </c>
      <c r="G99" s="18">
        <v>0.0</v>
      </c>
      <c r="H99" s="18">
        <v>0.0</v>
      </c>
      <c r="I99" s="18">
        <v>2.0</v>
      </c>
      <c r="K99" s="7"/>
    </row>
    <row r="100" ht="15.75" customHeight="1">
      <c r="A100" s="17" t="s">
        <v>129</v>
      </c>
      <c r="B100" s="18">
        <v>0.0</v>
      </c>
      <c r="C100" s="18">
        <v>0.0</v>
      </c>
      <c r="D100" s="18">
        <v>0.0</v>
      </c>
      <c r="E100" s="18">
        <v>1.0</v>
      </c>
      <c r="F100" s="18">
        <v>1.0</v>
      </c>
      <c r="G100" s="18">
        <v>0.0</v>
      </c>
      <c r="H100" s="18">
        <v>0.0</v>
      </c>
      <c r="I100" s="18">
        <v>2.0</v>
      </c>
      <c r="J100" s="15">
        <v>18000.0</v>
      </c>
      <c r="K100" s="7">
        <f>I100/J100*10000</f>
        <v>1.111111111</v>
      </c>
    </row>
    <row r="101" ht="15.75" customHeight="1">
      <c r="A101" s="17" t="s">
        <v>130</v>
      </c>
      <c r="B101" s="18">
        <v>0.0</v>
      </c>
      <c r="C101" s="18">
        <v>0.0</v>
      </c>
      <c r="D101" s="18">
        <v>0.0</v>
      </c>
      <c r="E101" s="18">
        <v>0.0</v>
      </c>
      <c r="F101" s="18">
        <v>1.0</v>
      </c>
      <c r="G101" s="18">
        <v>0.0</v>
      </c>
      <c r="H101" s="18">
        <v>0.0</v>
      </c>
      <c r="I101" s="18">
        <v>1.0</v>
      </c>
      <c r="K101" s="7"/>
    </row>
    <row r="102" ht="15.75" customHeight="1">
      <c r="A102" s="17" t="s">
        <v>131</v>
      </c>
      <c r="B102" s="18">
        <v>11.0</v>
      </c>
      <c r="C102" s="18">
        <v>6.0</v>
      </c>
      <c r="D102" s="18">
        <v>10.0</v>
      </c>
      <c r="E102" s="18">
        <v>11.0</v>
      </c>
      <c r="F102" s="18">
        <v>14.0</v>
      </c>
      <c r="G102" s="18">
        <v>13.0</v>
      </c>
      <c r="H102" s="18">
        <v>31.0</v>
      </c>
      <c r="I102" s="18">
        <v>96.0</v>
      </c>
      <c r="J102" s="15">
        <v>65000.0</v>
      </c>
      <c r="K102" s="7">
        <f>I102/J102*10000</f>
        <v>14.76923077</v>
      </c>
    </row>
    <row r="103" ht="15.75" customHeight="1">
      <c r="A103" s="17" t="s">
        <v>132</v>
      </c>
      <c r="B103" s="18">
        <v>2.0</v>
      </c>
      <c r="C103" s="18">
        <v>2.0</v>
      </c>
      <c r="D103" s="18">
        <v>2.0</v>
      </c>
      <c r="E103" s="18">
        <v>2.0</v>
      </c>
      <c r="F103" s="18">
        <v>0.0</v>
      </c>
      <c r="G103" s="18">
        <v>2.0</v>
      </c>
      <c r="H103" s="18">
        <v>3.0</v>
      </c>
      <c r="I103" s="18">
        <v>13.0</v>
      </c>
      <c r="K103" s="7"/>
    </row>
    <row r="104" ht="15.75" customHeight="1">
      <c r="A104" s="17" t="s">
        <v>133</v>
      </c>
      <c r="B104" s="18">
        <v>1.0</v>
      </c>
      <c r="C104" s="18">
        <v>0.0</v>
      </c>
      <c r="D104" s="18">
        <v>0.0</v>
      </c>
      <c r="E104" s="18">
        <v>0.0</v>
      </c>
      <c r="F104" s="18">
        <v>0.0</v>
      </c>
      <c r="G104" s="18">
        <v>1.0</v>
      </c>
      <c r="H104" s="18">
        <v>1.0</v>
      </c>
      <c r="I104" s="18">
        <v>3.0</v>
      </c>
      <c r="J104" s="15">
        <v>5000.0</v>
      </c>
      <c r="K104" s="7">
        <f t="shared" ref="K104:K107" si="15">I104/J104*10000</f>
        <v>6</v>
      </c>
    </row>
    <row r="105" ht="15.75" customHeight="1">
      <c r="A105" s="17" t="s">
        <v>134</v>
      </c>
      <c r="B105" s="18">
        <v>2.0</v>
      </c>
      <c r="C105" s="18">
        <v>2.0</v>
      </c>
      <c r="D105" s="18">
        <v>1.0</v>
      </c>
      <c r="E105" s="18">
        <v>1.0</v>
      </c>
      <c r="F105" s="18">
        <v>3.0</v>
      </c>
      <c r="G105" s="18">
        <v>2.0</v>
      </c>
      <c r="H105" s="18">
        <v>2.0</v>
      </c>
      <c r="I105" s="18">
        <v>13.0</v>
      </c>
      <c r="J105" s="15">
        <v>24000.0</v>
      </c>
      <c r="K105" s="7">
        <f t="shared" si="15"/>
        <v>5.416666667</v>
      </c>
    </row>
    <row r="106" ht="15.75" customHeight="1">
      <c r="A106" s="17" t="s">
        <v>135</v>
      </c>
      <c r="B106" s="18">
        <v>22.0</v>
      </c>
      <c r="C106" s="18">
        <v>21.0</v>
      </c>
      <c r="D106" s="18">
        <v>18.0</v>
      </c>
      <c r="E106" s="18">
        <v>20.0</v>
      </c>
      <c r="F106" s="18">
        <v>8.0</v>
      </c>
      <c r="G106" s="18">
        <v>22.0</v>
      </c>
      <c r="H106" s="18">
        <v>17.0</v>
      </c>
      <c r="I106" s="18">
        <v>128.0</v>
      </c>
      <c r="J106" s="15">
        <v>160000.0</v>
      </c>
      <c r="K106" s="7">
        <f t="shared" si="15"/>
        <v>8</v>
      </c>
    </row>
    <row r="107" ht="15.75" customHeight="1">
      <c r="A107" s="17" t="s">
        <v>136</v>
      </c>
      <c r="B107" s="18">
        <v>7.0</v>
      </c>
      <c r="C107" s="18">
        <v>9.0</v>
      </c>
      <c r="D107" s="18">
        <v>16.0</v>
      </c>
      <c r="E107" s="18">
        <v>11.0</v>
      </c>
      <c r="F107" s="18">
        <v>18.0</v>
      </c>
      <c r="G107" s="18">
        <v>15.0</v>
      </c>
      <c r="H107" s="18">
        <v>15.0</v>
      </c>
      <c r="I107" s="18">
        <v>91.0</v>
      </c>
      <c r="J107" s="15">
        <v>106000.0</v>
      </c>
      <c r="K107" s="7">
        <f t="shared" si="15"/>
        <v>8.58490566</v>
      </c>
    </row>
    <row r="108" ht="15.75" customHeight="1">
      <c r="A108" s="17" t="s">
        <v>137</v>
      </c>
      <c r="B108" s="18">
        <v>1.0</v>
      </c>
      <c r="C108" s="18">
        <v>1.0</v>
      </c>
      <c r="D108" s="18">
        <v>0.0</v>
      </c>
      <c r="E108" s="18">
        <v>1.0</v>
      </c>
      <c r="F108" s="18">
        <v>0.0</v>
      </c>
      <c r="G108" s="18">
        <v>0.0</v>
      </c>
      <c r="H108" s="18">
        <v>1.0</v>
      </c>
      <c r="I108" s="18">
        <v>4.0</v>
      </c>
      <c r="K108" s="7"/>
    </row>
    <row r="109" ht="15.75" customHeight="1">
      <c r="A109" s="17" t="s">
        <v>138</v>
      </c>
      <c r="B109" s="18">
        <v>42.0</v>
      </c>
      <c r="C109" s="18">
        <v>47.0</v>
      </c>
      <c r="D109" s="18">
        <v>40.0</v>
      </c>
      <c r="E109" s="18">
        <v>50.0</v>
      </c>
      <c r="F109" s="18">
        <v>45.0</v>
      </c>
      <c r="G109" s="18">
        <v>37.0</v>
      </c>
      <c r="H109" s="18">
        <v>47.0</v>
      </c>
      <c r="I109" s="18">
        <v>308.0</v>
      </c>
      <c r="J109" s="15">
        <v>136000.0</v>
      </c>
      <c r="K109" s="7">
        <f t="shared" ref="K109:K110" si="16">I109/J109*10000</f>
        <v>22.64705882</v>
      </c>
    </row>
    <row r="110" ht="15.75" customHeight="1">
      <c r="A110" s="17" t="s">
        <v>139</v>
      </c>
      <c r="B110" s="18">
        <v>2.0</v>
      </c>
      <c r="C110" s="18">
        <v>2.0</v>
      </c>
      <c r="D110" s="18">
        <v>1.0</v>
      </c>
      <c r="E110" s="18">
        <v>0.0</v>
      </c>
      <c r="F110" s="18">
        <v>1.0</v>
      </c>
      <c r="G110" s="18">
        <v>1.0</v>
      </c>
      <c r="H110" s="18">
        <v>1.0</v>
      </c>
      <c r="I110" s="18">
        <v>8.0</v>
      </c>
      <c r="J110" s="15">
        <v>24000.0</v>
      </c>
      <c r="K110" s="7">
        <f t="shared" si="16"/>
        <v>3.333333333</v>
      </c>
    </row>
    <row r="111" ht="15.75" customHeight="1">
      <c r="A111" s="17" t="s">
        <v>140</v>
      </c>
      <c r="B111" s="18">
        <v>0.0</v>
      </c>
      <c r="C111" s="18">
        <v>0.0</v>
      </c>
      <c r="D111" s="18">
        <v>1.0</v>
      </c>
      <c r="E111" s="18">
        <v>1.0</v>
      </c>
      <c r="F111" s="18">
        <v>0.0</v>
      </c>
      <c r="G111" s="18">
        <v>0.0</v>
      </c>
      <c r="H111" s="18">
        <v>0.0</v>
      </c>
      <c r="I111" s="18">
        <v>2.0</v>
      </c>
      <c r="K111" s="7"/>
    </row>
    <row r="112" ht="15.75" customHeight="1">
      <c r="A112" s="17" t="s">
        <v>141</v>
      </c>
      <c r="B112" s="18">
        <v>1.0</v>
      </c>
      <c r="C112" s="18">
        <v>0.0</v>
      </c>
      <c r="D112" s="18">
        <v>0.0</v>
      </c>
      <c r="E112" s="18">
        <v>0.0</v>
      </c>
      <c r="F112" s="18">
        <v>0.0</v>
      </c>
      <c r="G112" s="18">
        <v>1.0</v>
      </c>
      <c r="H112" s="18">
        <v>1.0</v>
      </c>
      <c r="I112" s="18">
        <v>3.0</v>
      </c>
      <c r="K112" s="7"/>
    </row>
    <row r="113" ht="15.75" customHeight="1">
      <c r="A113" s="17" t="s">
        <v>142</v>
      </c>
      <c r="B113" s="18">
        <v>1.0</v>
      </c>
      <c r="C113" s="18">
        <v>0.0</v>
      </c>
      <c r="D113" s="18">
        <v>1.0</v>
      </c>
      <c r="E113" s="18">
        <v>0.0</v>
      </c>
      <c r="F113" s="18">
        <v>0.0</v>
      </c>
      <c r="G113" s="18">
        <v>0.0</v>
      </c>
      <c r="H113" s="18">
        <v>0.0</v>
      </c>
      <c r="I113" s="18">
        <v>2.0</v>
      </c>
      <c r="K113" s="7"/>
    </row>
    <row r="114" ht="15.75" customHeight="1">
      <c r="A114" s="17" t="s">
        <v>143</v>
      </c>
      <c r="B114" s="18">
        <v>0.0</v>
      </c>
      <c r="C114" s="18">
        <v>1.0</v>
      </c>
      <c r="D114" s="18">
        <v>0.0</v>
      </c>
      <c r="E114" s="18">
        <v>0.0</v>
      </c>
      <c r="F114" s="18">
        <v>0.0</v>
      </c>
      <c r="G114" s="18">
        <v>0.0</v>
      </c>
      <c r="H114" s="18">
        <v>1.0</v>
      </c>
      <c r="I114" s="18">
        <v>2.0</v>
      </c>
      <c r="K114" s="7"/>
    </row>
    <row r="115" ht="15.75" customHeight="1">
      <c r="A115" s="17" t="s">
        <v>144</v>
      </c>
      <c r="B115" s="18">
        <v>0.0</v>
      </c>
      <c r="C115" s="18">
        <v>0.0</v>
      </c>
      <c r="D115" s="18">
        <v>0.0</v>
      </c>
      <c r="E115" s="18">
        <v>0.0</v>
      </c>
      <c r="F115" s="18">
        <v>0.0</v>
      </c>
      <c r="G115" s="18">
        <v>0.0</v>
      </c>
      <c r="H115" s="18">
        <v>1.0</v>
      </c>
      <c r="I115" s="18">
        <v>1.0</v>
      </c>
      <c r="K115" s="7"/>
    </row>
    <row r="116" ht="15.75" customHeight="1">
      <c r="A116" s="17" t="s">
        <v>145</v>
      </c>
      <c r="B116" s="18">
        <v>2.0</v>
      </c>
      <c r="C116" s="18">
        <v>2.0</v>
      </c>
      <c r="D116" s="18">
        <v>3.0</v>
      </c>
      <c r="E116" s="18">
        <v>0.0</v>
      </c>
      <c r="F116" s="18">
        <v>0.0</v>
      </c>
      <c r="G116" s="18">
        <v>1.0</v>
      </c>
      <c r="H116" s="18">
        <v>1.0</v>
      </c>
      <c r="I116" s="18">
        <v>9.0</v>
      </c>
      <c r="J116" s="15">
        <v>13000.0</v>
      </c>
      <c r="K116" s="7">
        <f t="shared" ref="K116:K118" si="17">I116/J116*10000</f>
        <v>6.923076923</v>
      </c>
    </row>
    <row r="117" ht="15.75" customHeight="1">
      <c r="A117" s="17" t="s">
        <v>146</v>
      </c>
      <c r="B117" s="18">
        <v>0.0</v>
      </c>
      <c r="C117" s="18">
        <v>0.0</v>
      </c>
      <c r="D117" s="18">
        <v>0.0</v>
      </c>
      <c r="E117" s="18">
        <v>0.0</v>
      </c>
      <c r="F117" s="18">
        <v>0.0</v>
      </c>
      <c r="G117" s="18">
        <v>1.0</v>
      </c>
      <c r="H117" s="18">
        <v>0.0</v>
      </c>
      <c r="I117" s="18">
        <v>1.0</v>
      </c>
      <c r="J117" s="15">
        <v>16000.0</v>
      </c>
      <c r="K117" s="7">
        <f t="shared" si="17"/>
        <v>0.625</v>
      </c>
    </row>
    <row r="118" ht="15.75" customHeight="1">
      <c r="A118" s="17" t="s">
        <v>147</v>
      </c>
      <c r="B118" s="18">
        <v>1.0</v>
      </c>
      <c r="C118" s="18">
        <v>1.0</v>
      </c>
      <c r="D118" s="18">
        <v>1.0</v>
      </c>
      <c r="E118" s="18">
        <v>0.0</v>
      </c>
      <c r="F118" s="18">
        <v>0.0</v>
      </c>
      <c r="G118" s="18">
        <v>0.0</v>
      </c>
      <c r="H118" s="18">
        <v>0.0</v>
      </c>
      <c r="I118" s="18">
        <v>3.0</v>
      </c>
      <c r="J118" s="15">
        <v>23000.0</v>
      </c>
      <c r="K118" s="7">
        <f t="shared" si="17"/>
        <v>1.304347826</v>
      </c>
    </row>
    <row r="119" ht="15.75" customHeight="1">
      <c r="A119" s="17" t="s">
        <v>148</v>
      </c>
      <c r="B119" s="18">
        <v>1.0</v>
      </c>
      <c r="C119" s="18">
        <v>1.0</v>
      </c>
      <c r="D119" s="18">
        <v>0.0</v>
      </c>
      <c r="E119" s="18">
        <v>0.0</v>
      </c>
      <c r="F119" s="18">
        <v>0.0</v>
      </c>
      <c r="G119" s="18">
        <v>0.0</v>
      </c>
      <c r="H119" s="18">
        <v>0.0</v>
      </c>
      <c r="I119" s="18">
        <v>2.0</v>
      </c>
      <c r="K119" s="7"/>
    </row>
    <row r="120" ht="15.75" customHeight="1">
      <c r="A120" s="17" t="s">
        <v>149</v>
      </c>
      <c r="B120" s="18">
        <v>13.0</v>
      </c>
      <c r="C120" s="18">
        <v>7.0</v>
      </c>
      <c r="D120" s="18">
        <v>10.0</v>
      </c>
      <c r="E120" s="18">
        <v>10.0</v>
      </c>
      <c r="F120" s="18">
        <v>11.0</v>
      </c>
      <c r="G120" s="18">
        <v>8.0</v>
      </c>
      <c r="H120" s="18">
        <v>12.0</v>
      </c>
      <c r="I120" s="18">
        <v>71.0</v>
      </c>
      <c r="J120" s="15">
        <v>13000.0</v>
      </c>
      <c r="K120" s="7">
        <f>I120/J120*10000</f>
        <v>54.61538462</v>
      </c>
    </row>
    <row r="121" ht="15.75" customHeight="1">
      <c r="A121" s="17" t="s">
        <v>150</v>
      </c>
      <c r="B121" s="18">
        <v>0.0</v>
      </c>
      <c r="C121" s="18">
        <v>0.0</v>
      </c>
      <c r="D121" s="18">
        <v>1.0</v>
      </c>
      <c r="E121" s="18">
        <v>0.0</v>
      </c>
      <c r="F121" s="18">
        <v>0.0</v>
      </c>
      <c r="G121" s="18">
        <v>0.0</v>
      </c>
      <c r="H121" s="18">
        <v>0.0</v>
      </c>
      <c r="I121" s="18">
        <v>1.0</v>
      </c>
      <c r="K121" s="7"/>
    </row>
    <row r="122" ht="15.75" customHeight="1">
      <c r="A122" s="17" t="s">
        <v>151</v>
      </c>
      <c r="B122" s="18">
        <v>2.0</v>
      </c>
      <c r="C122" s="18">
        <v>0.0</v>
      </c>
      <c r="D122" s="18">
        <v>2.0</v>
      </c>
      <c r="E122" s="18">
        <v>1.0</v>
      </c>
      <c r="F122" s="18">
        <v>1.0</v>
      </c>
      <c r="G122" s="18">
        <v>1.0</v>
      </c>
      <c r="H122" s="18">
        <v>0.0</v>
      </c>
      <c r="I122" s="18">
        <v>7.0</v>
      </c>
      <c r="J122" s="15">
        <v>26000.0</v>
      </c>
      <c r="K122" s="7">
        <f>I122/J122*10000</f>
        <v>2.692307692</v>
      </c>
    </row>
    <row r="123" ht="15.75" customHeight="1">
      <c r="A123" s="17" t="s">
        <v>152</v>
      </c>
      <c r="B123" s="18">
        <v>0.0</v>
      </c>
      <c r="C123" s="18">
        <v>1.0</v>
      </c>
      <c r="D123" s="18">
        <v>0.0</v>
      </c>
      <c r="E123" s="18">
        <v>0.0</v>
      </c>
      <c r="F123" s="18">
        <v>0.0</v>
      </c>
      <c r="G123" s="18">
        <v>0.0</v>
      </c>
      <c r="H123" s="18">
        <v>0.0</v>
      </c>
      <c r="I123" s="18">
        <v>1.0</v>
      </c>
      <c r="K123" s="7"/>
    </row>
    <row r="124" ht="15.75" customHeight="1">
      <c r="A124" s="17" t="s">
        <v>153</v>
      </c>
      <c r="B124" s="18">
        <v>0.0</v>
      </c>
      <c r="C124" s="18">
        <v>0.0</v>
      </c>
      <c r="D124" s="18">
        <v>0.0</v>
      </c>
      <c r="E124" s="18">
        <v>1.0</v>
      </c>
      <c r="F124" s="18">
        <v>0.0</v>
      </c>
      <c r="G124" s="18">
        <v>0.0</v>
      </c>
      <c r="H124" s="18">
        <v>0.0</v>
      </c>
      <c r="I124" s="18">
        <v>1.0</v>
      </c>
      <c r="K124" s="7"/>
    </row>
    <row r="125" ht="15.75" customHeight="1">
      <c r="A125" s="17" t="s">
        <v>154</v>
      </c>
      <c r="B125" s="18">
        <v>7.0</v>
      </c>
      <c r="C125" s="18">
        <v>6.0</v>
      </c>
      <c r="D125" s="18">
        <v>6.0</v>
      </c>
      <c r="E125" s="18">
        <v>9.0</v>
      </c>
      <c r="F125" s="18">
        <v>15.0</v>
      </c>
      <c r="G125" s="18">
        <v>17.0</v>
      </c>
      <c r="H125" s="18">
        <v>13.0</v>
      </c>
      <c r="I125" s="18">
        <v>73.0</v>
      </c>
      <c r="J125" s="15">
        <v>123000.0</v>
      </c>
      <c r="K125" s="7">
        <f t="shared" ref="K125:K129" si="18">I125/J125*10000</f>
        <v>5.93495935</v>
      </c>
    </row>
    <row r="126" ht="15.75" customHeight="1">
      <c r="A126" s="17" t="s">
        <v>155</v>
      </c>
      <c r="B126" s="18">
        <v>7.0</v>
      </c>
      <c r="C126" s="18">
        <v>4.0</v>
      </c>
      <c r="D126" s="18">
        <v>4.0</v>
      </c>
      <c r="E126" s="18">
        <v>3.0</v>
      </c>
      <c r="F126" s="18">
        <v>6.0</v>
      </c>
      <c r="G126" s="18">
        <v>5.0</v>
      </c>
      <c r="H126" s="18">
        <v>14.0</v>
      </c>
      <c r="I126" s="18">
        <v>43.0</v>
      </c>
      <c r="J126" s="15">
        <v>23000.0</v>
      </c>
      <c r="K126" s="7">
        <f t="shared" si="18"/>
        <v>18.69565217</v>
      </c>
    </row>
    <row r="127" ht="15.75" customHeight="1">
      <c r="A127" s="17" t="s">
        <v>156</v>
      </c>
      <c r="B127" s="18">
        <v>0.0</v>
      </c>
      <c r="C127" s="18">
        <v>1.0</v>
      </c>
      <c r="D127" s="18">
        <v>0.0</v>
      </c>
      <c r="E127" s="18">
        <v>1.0</v>
      </c>
      <c r="F127" s="18">
        <v>3.0</v>
      </c>
      <c r="G127" s="18">
        <v>2.0</v>
      </c>
      <c r="H127" s="18">
        <v>2.0</v>
      </c>
      <c r="I127" s="18">
        <v>9.0</v>
      </c>
      <c r="J127" s="15">
        <v>9000.0</v>
      </c>
      <c r="K127" s="7">
        <f t="shared" si="18"/>
        <v>10</v>
      </c>
    </row>
    <row r="128" ht="15.75" customHeight="1">
      <c r="A128" s="17" t="s">
        <v>157</v>
      </c>
      <c r="B128" s="18">
        <v>0.0</v>
      </c>
      <c r="C128" s="18">
        <v>2.0</v>
      </c>
      <c r="D128" s="18">
        <v>2.0</v>
      </c>
      <c r="E128" s="18">
        <v>2.0</v>
      </c>
      <c r="F128" s="18">
        <v>7.0</v>
      </c>
      <c r="G128" s="18">
        <v>4.0</v>
      </c>
      <c r="H128" s="18">
        <v>13.0</v>
      </c>
      <c r="I128" s="18">
        <v>30.0</v>
      </c>
      <c r="J128" s="15">
        <v>7000.0</v>
      </c>
      <c r="K128" s="7">
        <f t="shared" si="18"/>
        <v>42.85714286</v>
      </c>
    </row>
    <row r="129" ht="15.75" customHeight="1">
      <c r="A129" s="17" t="s">
        <v>158</v>
      </c>
      <c r="B129" s="18">
        <v>2.0</v>
      </c>
      <c r="C129" s="18">
        <v>2.0</v>
      </c>
      <c r="D129" s="18">
        <v>0.0</v>
      </c>
      <c r="E129" s="18">
        <v>0.0</v>
      </c>
      <c r="F129" s="18">
        <v>2.0</v>
      </c>
      <c r="G129" s="18">
        <v>0.0</v>
      </c>
      <c r="H129" s="18">
        <v>0.0</v>
      </c>
      <c r="I129" s="18">
        <v>6.0</v>
      </c>
      <c r="J129" s="15">
        <v>23000.0</v>
      </c>
      <c r="K129" s="7">
        <f t="shared" si="18"/>
        <v>2.608695652</v>
      </c>
    </row>
    <row r="130" ht="15.75" customHeight="1">
      <c r="A130" s="17" t="s">
        <v>159</v>
      </c>
      <c r="B130" s="18">
        <v>2.0</v>
      </c>
      <c r="C130" s="18">
        <v>3.0</v>
      </c>
      <c r="D130" s="18">
        <v>3.0</v>
      </c>
      <c r="E130" s="18">
        <v>3.0</v>
      </c>
      <c r="F130" s="18">
        <v>2.0</v>
      </c>
      <c r="G130" s="18">
        <v>5.0</v>
      </c>
      <c r="H130" s="18">
        <v>10.0</v>
      </c>
      <c r="I130" s="18">
        <v>28.0</v>
      </c>
      <c r="K130" s="7"/>
    </row>
    <row r="131" ht="15.75" customHeight="1">
      <c r="A131" s="17" t="s">
        <v>160</v>
      </c>
      <c r="B131" s="18">
        <v>1.0</v>
      </c>
      <c r="C131" s="18">
        <v>1.0</v>
      </c>
      <c r="D131" s="18">
        <v>0.0</v>
      </c>
      <c r="E131" s="18">
        <v>1.0</v>
      </c>
      <c r="F131" s="18">
        <v>0.0</v>
      </c>
      <c r="G131" s="18">
        <v>0.0</v>
      </c>
      <c r="H131" s="18">
        <v>1.0</v>
      </c>
      <c r="I131" s="18">
        <v>4.0</v>
      </c>
      <c r="K131" s="7"/>
    </row>
    <row r="132" ht="15.75" customHeight="1">
      <c r="A132" s="17" t="s">
        <v>161</v>
      </c>
      <c r="B132" s="18">
        <v>0.0</v>
      </c>
      <c r="C132" s="18">
        <v>1.0</v>
      </c>
      <c r="D132" s="18">
        <v>0.0</v>
      </c>
      <c r="E132" s="18">
        <v>1.0</v>
      </c>
      <c r="F132" s="18">
        <v>0.0</v>
      </c>
      <c r="G132" s="18">
        <v>0.0</v>
      </c>
      <c r="H132" s="18">
        <v>1.0</v>
      </c>
      <c r="I132" s="18">
        <v>3.0</v>
      </c>
      <c r="J132" s="15">
        <v>7000.0</v>
      </c>
      <c r="K132" s="7">
        <f t="shared" ref="K132:K133" si="19">I132/J132*10000</f>
        <v>4.285714286</v>
      </c>
    </row>
    <row r="133" ht="15.75" customHeight="1">
      <c r="A133" s="17" t="s">
        <v>162</v>
      </c>
      <c r="B133" s="18">
        <v>0.0</v>
      </c>
      <c r="C133" s="18">
        <v>2.0</v>
      </c>
      <c r="D133" s="18">
        <v>2.0</v>
      </c>
      <c r="E133" s="18">
        <v>2.0</v>
      </c>
      <c r="F133" s="18">
        <v>2.0</v>
      </c>
      <c r="G133" s="18">
        <v>1.0</v>
      </c>
      <c r="H133" s="18">
        <v>1.0</v>
      </c>
      <c r="I133" s="18">
        <v>10.0</v>
      </c>
      <c r="J133" s="15">
        <v>7000.0</v>
      </c>
      <c r="K133" s="7">
        <f t="shared" si="19"/>
        <v>14.28571429</v>
      </c>
    </row>
    <row r="134" ht="15.75" customHeight="1">
      <c r="A134" s="17" t="s">
        <v>163</v>
      </c>
      <c r="B134" s="18">
        <v>1.0</v>
      </c>
      <c r="C134" s="18">
        <v>1.0</v>
      </c>
      <c r="D134" s="18">
        <v>1.0</v>
      </c>
      <c r="E134" s="18">
        <v>1.0</v>
      </c>
      <c r="F134" s="18">
        <v>2.0</v>
      </c>
      <c r="G134" s="18">
        <v>1.0</v>
      </c>
      <c r="H134" s="18">
        <v>5.0</v>
      </c>
      <c r="I134" s="18">
        <v>12.0</v>
      </c>
      <c r="K134" s="7"/>
    </row>
    <row r="135" ht="15.75" customHeight="1">
      <c r="A135" s="17" t="s">
        <v>164</v>
      </c>
      <c r="B135" s="18">
        <v>8.0</v>
      </c>
      <c r="C135" s="18">
        <v>8.0</v>
      </c>
      <c r="D135" s="18">
        <v>3.0</v>
      </c>
      <c r="E135" s="18">
        <v>3.0</v>
      </c>
      <c r="F135" s="18">
        <v>3.0</v>
      </c>
      <c r="G135" s="18">
        <v>7.0</v>
      </c>
      <c r="H135" s="18">
        <v>8.0</v>
      </c>
      <c r="I135" s="18">
        <v>40.0</v>
      </c>
      <c r="J135" s="15">
        <v>28000.0</v>
      </c>
      <c r="K135" s="7">
        <f>I135/J135*10000</f>
        <v>14.28571429</v>
      </c>
    </row>
    <row r="136" ht="15.75" customHeight="1">
      <c r="A136" s="17" t="s">
        <v>165</v>
      </c>
      <c r="B136" s="18">
        <v>2.0</v>
      </c>
      <c r="C136" s="18">
        <v>2.0</v>
      </c>
      <c r="D136" s="18">
        <v>2.0</v>
      </c>
      <c r="E136" s="18">
        <v>2.0</v>
      </c>
      <c r="F136" s="18">
        <v>3.0</v>
      </c>
      <c r="G136" s="18">
        <v>0.0</v>
      </c>
      <c r="H136" s="18">
        <v>1.0</v>
      </c>
      <c r="I136" s="18">
        <v>12.0</v>
      </c>
      <c r="K136" s="7"/>
    </row>
    <row r="137" ht="15.75" customHeight="1">
      <c r="A137" s="17" t="s">
        <v>166</v>
      </c>
      <c r="B137" s="18">
        <v>2.0</v>
      </c>
      <c r="C137" s="18">
        <v>0.0</v>
      </c>
      <c r="D137" s="18">
        <v>2.0</v>
      </c>
      <c r="E137" s="18">
        <v>2.0</v>
      </c>
      <c r="F137" s="18">
        <v>3.0</v>
      </c>
      <c r="G137" s="18">
        <v>9.0</v>
      </c>
      <c r="H137" s="18">
        <v>5.0</v>
      </c>
      <c r="I137" s="18">
        <v>23.0</v>
      </c>
      <c r="J137" s="15">
        <v>15000.0</v>
      </c>
      <c r="K137" s="7">
        <f>I137/J137*10000</f>
        <v>15.33333333</v>
      </c>
    </row>
    <row r="138" ht="15.75" customHeight="1">
      <c r="A138" s="17" t="s">
        <v>167</v>
      </c>
      <c r="B138" s="18">
        <v>0.0</v>
      </c>
      <c r="C138" s="18">
        <v>0.0</v>
      </c>
      <c r="D138" s="18">
        <v>0.0</v>
      </c>
      <c r="E138" s="18">
        <v>0.0</v>
      </c>
      <c r="F138" s="18">
        <v>1.0</v>
      </c>
      <c r="G138" s="18">
        <v>0.0</v>
      </c>
      <c r="H138" s="18">
        <v>0.0</v>
      </c>
      <c r="I138" s="18">
        <v>1.0</v>
      </c>
      <c r="K138" s="7"/>
    </row>
    <row r="139" ht="15.75" customHeight="1">
      <c r="A139" s="17" t="s">
        <v>168</v>
      </c>
      <c r="B139" s="18">
        <v>561.0</v>
      </c>
      <c r="C139" s="18">
        <v>581.0</v>
      </c>
      <c r="D139" s="18">
        <v>593.0</v>
      </c>
      <c r="E139" s="18">
        <v>600.0</v>
      </c>
      <c r="F139" s="18">
        <v>638.0</v>
      </c>
      <c r="G139" s="18">
        <v>0.0</v>
      </c>
      <c r="H139" s="18">
        <v>0.0</v>
      </c>
      <c r="I139" s="18">
        <v>2973.0</v>
      </c>
      <c r="K139" s="7"/>
    </row>
    <row r="140" ht="15.75" customHeight="1">
      <c r="A140" s="17" t="s">
        <v>169</v>
      </c>
      <c r="B140" s="18">
        <v>5.0</v>
      </c>
      <c r="C140" s="18">
        <v>2.0</v>
      </c>
      <c r="D140" s="18">
        <v>6.0</v>
      </c>
      <c r="E140" s="18">
        <v>7.0</v>
      </c>
      <c r="F140" s="18">
        <v>2.0</v>
      </c>
      <c r="G140" s="18">
        <v>9.0</v>
      </c>
      <c r="H140" s="18">
        <v>15.0</v>
      </c>
      <c r="I140" s="18">
        <v>46.0</v>
      </c>
      <c r="J140" s="15">
        <v>83000.0</v>
      </c>
      <c r="K140" s="7">
        <f t="shared" ref="K140:K142" si="20">I140/J140*10000</f>
        <v>5.542168675</v>
      </c>
    </row>
    <row r="141" ht="15.75" customHeight="1">
      <c r="A141" s="17" t="s">
        <v>170</v>
      </c>
      <c r="B141" s="18">
        <v>0.0</v>
      </c>
      <c r="C141" s="18">
        <v>0.0</v>
      </c>
      <c r="D141" s="18">
        <v>1.0</v>
      </c>
      <c r="E141" s="18">
        <v>0.0</v>
      </c>
      <c r="F141" s="18">
        <v>0.0</v>
      </c>
      <c r="G141" s="18">
        <v>1.0</v>
      </c>
      <c r="H141" s="18">
        <v>0.0</v>
      </c>
      <c r="I141" s="18">
        <v>2.0</v>
      </c>
      <c r="J141" s="15">
        <v>6000.0</v>
      </c>
      <c r="K141" s="7">
        <f t="shared" si="20"/>
        <v>3.333333333</v>
      </c>
    </row>
    <row r="142" ht="15.75" customHeight="1">
      <c r="A142" s="17" t="s">
        <v>171</v>
      </c>
      <c r="B142" s="18">
        <v>0.0</v>
      </c>
      <c r="C142" s="18">
        <v>0.0</v>
      </c>
      <c r="D142" s="18">
        <v>1.0</v>
      </c>
      <c r="E142" s="18">
        <v>0.0</v>
      </c>
      <c r="F142" s="18">
        <v>1.0</v>
      </c>
      <c r="G142" s="18">
        <v>0.0</v>
      </c>
      <c r="H142" s="18">
        <v>0.0</v>
      </c>
      <c r="I142" s="18">
        <v>2.0</v>
      </c>
      <c r="J142" s="15">
        <v>10000.0</v>
      </c>
      <c r="K142" s="7">
        <f t="shared" si="20"/>
        <v>2</v>
      </c>
    </row>
    <row r="143" ht="15.75" customHeight="1">
      <c r="A143" s="17" t="s">
        <v>172</v>
      </c>
      <c r="B143" s="18">
        <v>0.0</v>
      </c>
      <c r="C143" s="18">
        <v>0.0</v>
      </c>
      <c r="D143" s="18">
        <v>0.0</v>
      </c>
      <c r="E143" s="18">
        <v>0.0</v>
      </c>
      <c r="F143" s="18">
        <v>0.0</v>
      </c>
      <c r="G143" s="18">
        <v>1.0</v>
      </c>
      <c r="H143" s="18">
        <v>0.0</v>
      </c>
      <c r="I143" s="18">
        <v>1.0</v>
      </c>
      <c r="K143" s="7"/>
    </row>
    <row r="144" ht="15.75" customHeight="1">
      <c r="A144" s="17" t="s">
        <v>173</v>
      </c>
      <c r="B144" s="18">
        <v>0.0</v>
      </c>
      <c r="C144" s="18">
        <v>0.0</v>
      </c>
      <c r="D144" s="18">
        <v>0.0</v>
      </c>
      <c r="E144" s="18">
        <v>0.0</v>
      </c>
      <c r="F144" s="18">
        <v>1.0</v>
      </c>
      <c r="G144" s="18">
        <v>0.0</v>
      </c>
      <c r="H144" s="18">
        <v>0.0</v>
      </c>
      <c r="I144" s="18">
        <v>1.0</v>
      </c>
      <c r="K144" s="7"/>
    </row>
    <row r="145" ht="15.75" customHeight="1">
      <c r="A145" s="17" t="s">
        <v>174</v>
      </c>
      <c r="B145" s="18">
        <v>0.0</v>
      </c>
      <c r="C145" s="18">
        <v>0.0</v>
      </c>
      <c r="D145" s="18">
        <v>1.0</v>
      </c>
      <c r="E145" s="18">
        <v>0.0</v>
      </c>
      <c r="F145" s="18">
        <v>0.0</v>
      </c>
      <c r="G145" s="18">
        <v>0.0</v>
      </c>
      <c r="H145" s="18">
        <v>1.0</v>
      </c>
      <c r="I145" s="18">
        <v>2.0</v>
      </c>
      <c r="K145" s="7"/>
    </row>
    <row r="146" ht="15.75" customHeight="1">
      <c r="A146" s="17" t="s">
        <v>175</v>
      </c>
      <c r="B146" s="18">
        <v>0.0</v>
      </c>
      <c r="C146" s="18">
        <v>0.0</v>
      </c>
      <c r="D146" s="18">
        <v>0.0</v>
      </c>
      <c r="E146" s="18">
        <v>0.0</v>
      </c>
      <c r="F146" s="18">
        <v>0.0</v>
      </c>
      <c r="G146" s="18">
        <v>0.0</v>
      </c>
      <c r="H146" s="18">
        <v>1.0</v>
      </c>
      <c r="I146" s="18">
        <v>1.0</v>
      </c>
      <c r="J146" s="15">
        <v>6000.0</v>
      </c>
      <c r="K146" s="7">
        <f t="shared" ref="K146:K147" si="21">I146/J146*10000</f>
        <v>1.666666667</v>
      </c>
    </row>
    <row r="147" ht="15.75" customHeight="1">
      <c r="A147" s="17" t="s">
        <v>176</v>
      </c>
      <c r="B147" s="18">
        <v>1.0</v>
      </c>
      <c r="C147" s="18">
        <v>6.0</v>
      </c>
      <c r="D147" s="18">
        <v>1.0</v>
      </c>
      <c r="E147" s="18">
        <v>1.0</v>
      </c>
      <c r="F147" s="18">
        <v>1.0</v>
      </c>
      <c r="G147" s="18">
        <v>1.0</v>
      </c>
      <c r="H147" s="18">
        <v>1.0</v>
      </c>
      <c r="I147" s="18">
        <v>12.0</v>
      </c>
      <c r="J147" s="15">
        <v>10000.0</v>
      </c>
      <c r="K147" s="7">
        <f t="shared" si="21"/>
        <v>12</v>
      </c>
    </row>
    <row r="148" ht="15.75" customHeight="1">
      <c r="A148" s="17" t="s">
        <v>177</v>
      </c>
      <c r="B148" s="18">
        <v>1.0</v>
      </c>
      <c r="C148" s="18">
        <v>0.0</v>
      </c>
      <c r="D148" s="18">
        <v>1.0</v>
      </c>
      <c r="E148" s="18">
        <v>2.0</v>
      </c>
      <c r="F148" s="18">
        <v>2.0</v>
      </c>
      <c r="G148" s="18">
        <v>2.0</v>
      </c>
      <c r="H148" s="18">
        <v>0.0</v>
      </c>
      <c r="I148" s="18">
        <v>8.0</v>
      </c>
      <c r="K148" s="7"/>
    </row>
    <row r="149" ht="15.75" customHeight="1">
      <c r="A149" s="17" t="s">
        <v>178</v>
      </c>
      <c r="B149" s="18">
        <v>0.0</v>
      </c>
      <c r="C149" s="18">
        <v>1.0</v>
      </c>
      <c r="D149" s="18">
        <v>0.0</v>
      </c>
      <c r="E149" s="18">
        <v>1.0</v>
      </c>
      <c r="F149" s="18">
        <v>27.0</v>
      </c>
      <c r="G149" s="18">
        <v>172.0</v>
      </c>
      <c r="H149" s="18">
        <v>149.0</v>
      </c>
      <c r="I149" s="18">
        <v>350.0</v>
      </c>
      <c r="K149" s="7"/>
    </row>
    <row r="150" ht="15.75" customHeight="1">
      <c r="A150" s="13" t="s">
        <v>34</v>
      </c>
      <c r="B150" s="14">
        <v>913.0</v>
      </c>
      <c r="C150" s="14">
        <v>898.0</v>
      </c>
      <c r="D150" s="14">
        <v>935.0</v>
      </c>
      <c r="E150" s="14">
        <v>967.0</v>
      </c>
      <c r="F150" s="14">
        <v>1162.0</v>
      </c>
      <c r="G150" s="14">
        <v>1322.0</v>
      </c>
      <c r="H150" s="14">
        <v>1601.0</v>
      </c>
      <c r="I150" s="14">
        <v>7798.0</v>
      </c>
      <c r="K150" s="7"/>
    </row>
    <row r="151" ht="15.75" customHeight="1">
      <c r="A151" s="2"/>
      <c r="B151" s="2"/>
      <c r="C151" s="2"/>
      <c r="D151" s="2"/>
      <c r="E151" s="2"/>
      <c r="F151" s="2"/>
      <c r="G151" s="2"/>
      <c r="H151" s="2"/>
      <c r="I151" s="2"/>
      <c r="J151" s="15" t="s">
        <v>179</v>
      </c>
      <c r="K151" s="7" t="s">
        <v>180</v>
      </c>
      <c r="M151" s="15" t="s">
        <v>181</v>
      </c>
    </row>
    <row r="152" ht="15.75" customHeight="1">
      <c r="A152" s="2" t="s">
        <v>182</v>
      </c>
      <c r="B152" s="19">
        <f t="shared" ref="B152:I152" si="22">sum(B139,B99,B47,B26)</f>
        <v>563</v>
      </c>
      <c r="C152" s="19">
        <f t="shared" si="22"/>
        <v>581</v>
      </c>
      <c r="D152" s="19">
        <f t="shared" si="22"/>
        <v>593</v>
      </c>
      <c r="E152" s="19">
        <f t="shared" si="22"/>
        <v>604</v>
      </c>
      <c r="F152" s="19">
        <f t="shared" si="22"/>
        <v>719</v>
      </c>
      <c r="G152" s="19">
        <f t="shared" si="22"/>
        <v>716</v>
      </c>
      <c r="H152" s="19">
        <f t="shared" si="22"/>
        <v>855</v>
      </c>
      <c r="I152" s="19">
        <f t="shared" si="22"/>
        <v>4631</v>
      </c>
      <c r="J152" s="15">
        <v>7128000.0</v>
      </c>
      <c r="K152" s="7">
        <f>I152/J152*10000</f>
        <v>6.49691358</v>
      </c>
      <c r="M152" s="15">
        <v>4533000.0</v>
      </c>
      <c r="N152" s="15">
        <f>I152/M152*10000</f>
        <v>10.21619237</v>
      </c>
    </row>
    <row r="153" ht="15.75" customHeight="1">
      <c r="A153" s="2" t="s">
        <v>183</v>
      </c>
      <c r="B153" s="19">
        <f t="shared" ref="B153:I153" si="23">sum(B148:B149)</f>
        <v>1</v>
      </c>
      <c r="C153" s="19">
        <f t="shared" si="23"/>
        <v>1</v>
      </c>
      <c r="D153" s="19">
        <f t="shared" si="23"/>
        <v>1</v>
      </c>
      <c r="E153" s="19">
        <f t="shared" si="23"/>
        <v>3</v>
      </c>
      <c r="F153" s="19">
        <f t="shared" si="23"/>
        <v>29</v>
      </c>
      <c r="G153" s="19">
        <f t="shared" si="23"/>
        <v>174</v>
      </c>
      <c r="H153" s="19">
        <f t="shared" si="23"/>
        <v>149</v>
      </c>
      <c r="I153" s="19">
        <f t="shared" si="23"/>
        <v>358</v>
      </c>
      <c r="K153" s="7"/>
    </row>
    <row r="154" ht="15.75" customHeight="1">
      <c r="A154" s="2" t="s">
        <v>184</v>
      </c>
      <c r="B154" s="19">
        <f t="shared" ref="B154:I154" si="24">B150-B152-B153</f>
        <v>349</v>
      </c>
      <c r="C154" s="19">
        <f t="shared" si="24"/>
        <v>316</v>
      </c>
      <c r="D154" s="19">
        <f t="shared" si="24"/>
        <v>341</v>
      </c>
      <c r="E154" s="19">
        <f t="shared" si="24"/>
        <v>360</v>
      </c>
      <c r="F154" s="19">
        <f t="shared" si="24"/>
        <v>414</v>
      </c>
      <c r="G154" s="19">
        <f t="shared" si="24"/>
        <v>432</v>
      </c>
      <c r="H154" s="19">
        <f t="shared" si="24"/>
        <v>597</v>
      </c>
      <c r="I154" s="19">
        <f t="shared" si="24"/>
        <v>2809</v>
      </c>
      <c r="J154" s="15">
        <v>1944000.0</v>
      </c>
      <c r="K154" s="15">
        <f>I154/J154*10000</f>
        <v>14.44958848</v>
      </c>
      <c r="M154" s="15">
        <v>1573000.0</v>
      </c>
      <c r="N154" s="15">
        <f>I154/M154*10000</f>
        <v>17.85759695</v>
      </c>
    </row>
    <row r="155" ht="15.75" customHeight="1">
      <c r="A155" s="2"/>
      <c r="B155" s="2"/>
      <c r="C155" s="2"/>
      <c r="D155" s="2"/>
      <c r="E155" s="2"/>
      <c r="F155" s="2"/>
      <c r="G155" s="2"/>
      <c r="H155" s="2"/>
      <c r="I155" s="2"/>
      <c r="K155" s="7"/>
    </row>
    <row r="156" ht="15.75" customHeight="1">
      <c r="A156" s="2" t="s">
        <v>185</v>
      </c>
      <c r="B156" s="20">
        <f t="shared" ref="B156:I156" si="25">B154/B150</f>
        <v>0.3822562979</v>
      </c>
      <c r="C156" s="20">
        <f t="shared" si="25"/>
        <v>0.3518930958</v>
      </c>
      <c r="D156" s="20">
        <f t="shared" si="25"/>
        <v>0.3647058824</v>
      </c>
      <c r="E156" s="20">
        <f t="shared" si="25"/>
        <v>0.3722854188</v>
      </c>
      <c r="F156" s="20">
        <f t="shared" si="25"/>
        <v>0.3562822719</v>
      </c>
      <c r="G156" s="20">
        <f t="shared" si="25"/>
        <v>0.3267776097</v>
      </c>
      <c r="H156" s="20">
        <f t="shared" si="25"/>
        <v>0.3728919425</v>
      </c>
      <c r="I156" s="20">
        <f t="shared" si="25"/>
        <v>0.3602205694</v>
      </c>
      <c r="K156" s="7" t="s">
        <v>186</v>
      </c>
      <c r="L156" s="15">
        <v>9078000.0</v>
      </c>
    </row>
    <row r="157" ht="15.75" customHeight="1">
      <c r="A157" s="2" t="s">
        <v>187</v>
      </c>
      <c r="B157" s="20">
        <f t="shared" ref="B157:I157" si="26">sum(B153:B154)/B150</f>
        <v>0.3833515882</v>
      </c>
      <c r="C157" s="20">
        <f t="shared" si="26"/>
        <v>0.3530066815</v>
      </c>
      <c r="D157" s="20">
        <f t="shared" si="26"/>
        <v>0.3657754011</v>
      </c>
      <c r="E157" s="20">
        <f t="shared" si="26"/>
        <v>0.3753877973</v>
      </c>
      <c r="F157" s="20">
        <f t="shared" si="26"/>
        <v>0.3812392427</v>
      </c>
      <c r="G157" s="20">
        <f t="shared" si="26"/>
        <v>0.4583963691</v>
      </c>
      <c r="H157" s="20">
        <f t="shared" si="26"/>
        <v>0.4659587758</v>
      </c>
      <c r="I157" s="20">
        <f t="shared" si="26"/>
        <v>0.4061297769</v>
      </c>
      <c r="K157" s="7"/>
    </row>
    <row r="158" ht="15.75" customHeight="1">
      <c r="A158" s="2" t="s">
        <v>188</v>
      </c>
      <c r="B158" s="19">
        <f t="shared" ref="B158:I158" si="27">B150-B153</f>
        <v>912</v>
      </c>
      <c r="C158" s="19">
        <f t="shared" si="27"/>
        <v>897</v>
      </c>
      <c r="D158" s="19">
        <f t="shared" si="27"/>
        <v>934</v>
      </c>
      <c r="E158" s="19">
        <f t="shared" si="27"/>
        <v>964</v>
      </c>
      <c r="F158" s="19">
        <f t="shared" si="27"/>
        <v>1133</v>
      </c>
      <c r="G158" s="19">
        <f t="shared" si="27"/>
        <v>1148</v>
      </c>
      <c r="H158" s="19">
        <f t="shared" si="27"/>
        <v>1452</v>
      </c>
      <c r="I158" s="19">
        <f t="shared" si="27"/>
        <v>7440</v>
      </c>
      <c r="K158" s="7"/>
    </row>
    <row r="159" ht="15.75" customHeight="1">
      <c r="A159" s="2" t="s">
        <v>189</v>
      </c>
      <c r="B159" s="20">
        <f t="shared" ref="B159:I159" si="28">B154/B158</f>
        <v>0.3826754386</v>
      </c>
      <c r="C159" s="20">
        <f t="shared" si="28"/>
        <v>0.3522853958</v>
      </c>
      <c r="D159" s="20">
        <f t="shared" si="28"/>
        <v>0.3650963597</v>
      </c>
      <c r="E159" s="20">
        <f t="shared" si="28"/>
        <v>0.3734439834</v>
      </c>
      <c r="F159" s="20">
        <f t="shared" si="28"/>
        <v>0.3654015887</v>
      </c>
      <c r="G159" s="20">
        <f t="shared" si="28"/>
        <v>0.3763066202</v>
      </c>
      <c r="H159" s="20">
        <f t="shared" si="28"/>
        <v>0.4111570248</v>
      </c>
      <c r="I159" s="20">
        <f t="shared" si="28"/>
        <v>0.3775537634</v>
      </c>
      <c r="K159" s="7"/>
    </row>
    <row r="160" ht="15.75" customHeight="1">
      <c r="K160" s="7"/>
    </row>
    <row r="161" ht="15.75" customHeight="1">
      <c r="K161" s="7"/>
    </row>
    <row r="162" ht="15.75" customHeight="1">
      <c r="K162" s="7"/>
    </row>
    <row r="163" ht="15.75" customHeight="1">
      <c r="K163" s="7"/>
    </row>
    <row r="164" ht="15.75" customHeight="1">
      <c r="K164" s="7"/>
    </row>
    <row r="165" ht="15.75" customHeight="1">
      <c r="K165" s="7"/>
    </row>
    <row r="166" ht="15.75" customHeight="1">
      <c r="K166" s="7"/>
    </row>
    <row r="167" ht="15.75" customHeight="1">
      <c r="K167" s="7"/>
    </row>
    <row r="168" ht="15.75" customHeight="1">
      <c r="K168" s="7"/>
    </row>
    <row r="169" ht="15.75" customHeight="1">
      <c r="K169" s="7"/>
    </row>
    <row r="170" ht="15.75" customHeight="1">
      <c r="K170" s="7"/>
    </row>
    <row r="171" ht="15.75" customHeight="1">
      <c r="K171" s="7"/>
    </row>
    <row r="172" ht="15.75" customHeight="1">
      <c r="K172" s="7"/>
    </row>
    <row r="173" ht="15.75" customHeight="1">
      <c r="K173" s="7"/>
    </row>
    <row r="174" ht="15.75" customHeight="1">
      <c r="K174" s="7"/>
    </row>
    <row r="175" ht="15.75" customHeight="1">
      <c r="K175" s="7"/>
    </row>
    <row r="176" ht="15.75" customHeight="1">
      <c r="K176" s="7"/>
    </row>
    <row r="177" ht="15.75" customHeight="1">
      <c r="K177" s="7"/>
    </row>
    <row r="178" ht="15.75" customHeight="1">
      <c r="K178" s="7"/>
    </row>
    <row r="179" ht="15.75" customHeight="1">
      <c r="K179" s="7"/>
    </row>
    <row r="180" ht="15.75" customHeight="1">
      <c r="K180" s="7"/>
    </row>
    <row r="181" ht="15.75" customHeight="1">
      <c r="K181" s="7"/>
    </row>
    <row r="182" ht="15.75" customHeight="1">
      <c r="K182" s="7"/>
    </row>
    <row r="183" ht="15.75" customHeight="1">
      <c r="K183" s="7"/>
    </row>
    <row r="184" ht="15.75" customHeight="1">
      <c r="K184" s="7"/>
    </row>
    <row r="185" ht="15.75" customHeight="1">
      <c r="K185" s="7"/>
    </row>
    <row r="186" ht="15.75" customHeight="1">
      <c r="K186" s="7"/>
    </row>
    <row r="187" ht="15.75" customHeight="1">
      <c r="K187" s="7"/>
    </row>
    <row r="188" ht="15.75" customHeight="1">
      <c r="K188" s="7"/>
    </row>
    <row r="189" ht="15.75" customHeight="1">
      <c r="K189" s="7"/>
    </row>
    <row r="190" ht="15.75" customHeight="1">
      <c r="K190" s="7"/>
    </row>
    <row r="191" ht="15.75" customHeight="1">
      <c r="K191" s="7"/>
    </row>
    <row r="192" ht="15.75" customHeight="1">
      <c r="K192" s="7"/>
    </row>
    <row r="193" ht="15.75" customHeight="1">
      <c r="K193" s="7"/>
    </row>
    <row r="194" ht="15.75" customHeight="1">
      <c r="K194" s="7"/>
    </row>
    <row r="195" ht="15.75" customHeight="1">
      <c r="K195" s="7"/>
    </row>
    <row r="196" ht="15.75" customHeight="1">
      <c r="K196" s="7"/>
    </row>
    <row r="197" ht="15.75" customHeight="1">
      <c r="K197" s="7"/>
    </row>
    <row r="198" ht="15.75" customHeight="1">
      <c r="K198" s="7"/>
    </row>
    <row r="199" ht="15.75" customHeight="1">
      <c r="K199" s="7"/>
    </row>
    <row r="200" ht="15.75" customHeight="1">
      <c r="K200" s="7"/>
    </row>
    <row r="201" ht="15.75" customHeight="1">
      <c r="K201" s="7"/>
    </row>
    <row r="202" ht="15.75" customHeight="1">
      <c r="K202" s="7"/>
    </row>
    <row r="203" ht="15.75" customHeight="1">
      <c r="K203" s="7"/>
    </row>
    <row r="204" ht="15.75" customHeight="1">
      <c r="K204" s="7"/>
    </row>
    <row r="205" ht="15.75" customHeight="1">
      <c r="K205" s="7"/>
    </row>
    <row r="206" ht="15.75" customHeight="1">
      <c r="K206" s="7"/>
    </row>
    <row r="207" ht="15.75" customHeight="1">
      <c r="K207" s="7"/>
    </row>
    <row r="208" ht="15.75" customHeight="1">
      <c r="K208" s="7"/>
    </row>
    <row r="209" ht="15.75" customHeight="1">
      <c r="K209" s="7"/>
    </row>
    <row r="210" ht="15.75" customHeight="1">
      <c r="K210" s="7"/>
    </row>
    <row r="211" ht="15.75" customHeight="1">
      <c r="K211" s="7"/>
    </row>
    <row r="212" ht="15.75" customHeight="1">
      <c r="K212" s="7"/>
    </row>
    <row r="213" ht="15.75" customHeight="1">
      <c r="K213" s="7"/>
    </row>
    <row r="214" ht="15.75" customHeight="1">
      <c r="K214" s="7"/>
    </row>
    <row r="215" ht="15.75" customHeight="1">
      <c r="K215" s="7"/>
    </row>
    <row r="216" ht="15.75" customHeight="1">
      <c r="K216" s="7"/>
    </row>
    <row r="217" ht="15.75" customHeight="1">
      <c r="K217" s="7"/>
    </row>
    <row r="218" ht="15.75" customHeight="1">
      <c r="K218" s="7"/>
    </row>
    <row r="219" ht="15.75" customHeight="1">
      <c r="K219" s="7"/>
    </row>
    <row r="220" ht="15.75" customHeight="1">
      <c r="K220" s="7"/>
    </row>
    <row r="221" ht="15.75" customHeight="1">
      <c r="K221" s="7"/>
    </row>
    <row r="222" ht="15.75" customHeight="1">
      <c r="K222" s="7"/>
    </row>
    <row r="223" ht="15.75" customHeight="1">
      <c r="K223" s="7"/>
    </row>
    <row r="224" ht="15.75" customHeight="1">
      <c r="K224" s="7"/>
    </row>
    <row r="225" ht="15.75" customHeight="1">
      <c r="K225" s="7"/>
    </row>
    <row r="226" ht="15.75" customHeight="1">
      <c r="K226" s="7"/>
    </row>
    <row r="227" ht="15.75" customHeight="1">
      <c r="K227" s="7"/>
    </row>
    <row r="228" ht="15.75" customHeight="1">
      <c r="K228" s="7"/>
    </row>
    <row r="229" ht="15.75" customHeight="1">
      <c r="K229" s="7"/>
    </row>
    <row r="230" ht="15.75" customHeight="1">
      <c r="K230" s="7"/>
    </row>
    <row r="231" ht="15.75" customHeight="1">
      <c r="K231" s="7"/>
    </row>
    <row r="232" ht="15.75" customHeight="1">
      <c r="K232" s="7"/>
    </row>
    <row r="233" ht="15.75" customHeight="1">
      <c r="K233" s="7"/>
    </row>
    <row r="234" ht="15.75" customHeight="1">
      <c r="K234" s="7"/>
    </row>
    <row r="235" ht="15.75" customHeight="1">
      <c r="K235" s="7"/>
    </row>
    <row r="236" ht="15.75" customHeight="1">
      <c r="K236" s="7"/>
    </row>
    <row r="237" ht="15.75" customHeight="1">
      <c r="K237" s="7"/>
    </row>
    <row r="238" ht="15.75" customHeight="1">
      <c r="K238" s="7"/>
    </row>
    <row r="239" ht="15.75" customHeight="1">
      <c r="K239" s="7"/>
    </row>
    <row r="240" ht="15.75" customHeight="1">
      <c r="K240" s="7"/>
    </row>
    <row r="241" ht="15.75" customHeight="1">
      <c r="K241" s="7"/>
    </row>
    <row r="242" ht="15.75" customHeight="1">
      <c r="K242" s="7"/>
    </row>
    <row r="243" ht="15.75" customHeight="1">
      <c r="K243" s="7"/>
    </row>
    <row r="244" ht="15.75" customHeight="1">
      <c r="K244" s="7"/>
    </row>
    <row r="245" ht="15.75" customHeight="1">
      <c r="K245" s="7"/>
    </row>
    <row r="246" ht="15.75" customHeight="1">
      <c r="K246" s="7"/>
    </row>
    <row r="247" ht="15.75" customHeight="1">
      <c r="K247" s="7"/>
    </row>
    <row r="248" ht="15.75" customHeight="1">
      <c r="K248" s="7"/>
    </row>
    <row r="249" ht="15.75" customHeight="1">
      <c r="K249" s="7"/>
    </row>
    <row r="250" ht="15.75" customHeight="1">
      <c r="K250" s="7"/>
    </row>
    <row r="251" ht="15.75" customHeight="1">
      <c r="K251" s="7"/>
    </row>
    <row r="252" ht="15.75" customHeight="1">
      <c r="K252" s="7"/>
    </row>
    <row r="253" ht="15.75" customHeight="1">
      <c r="K253" s="7"/>
    </row>
    <row r="254" ht="15.75" customHeight="1">
      <c r="K254" s="7"/>
    </row>
    <row r="255" ht="15.75" customHeight="1">
      <c r="K255" s="7"/>
    </row>
    <row r="256" ht="15.75" customHeight="1">
      <c r="K256" s="7"/>
    </row>
    <row r="257" ht="15.75" customHeight="1">
      <c r="K257" s="7"/>
    </row>
    <row r="258" ht="15.75" customHeight="1">
      <c r="K258" s="7"/>
    </row>
    <row r="259" ht="15.75" customHeight="1">
      <c r="K259" s="7"/>
    </row>
    <row r="260" ht="15.75" customHeight="1">
      <c r="K260" s="7"/>
    </row>
    <row r="261" ht="15.75" customHeight="1">
      <c r="K261" s="7"/>
    </row>
    <row r="262" ht="15.75" customHeight="1">
      <c r="K262" s="7"/>
    </row>
    <row r="263" ht="15.75" customHeight="1">
      <c r="K263" s="7"/>
    </row>
    <row r="264" ht="15.75" customHeight="1">
      <c r="K264" s="7"/>
    </row>
    <row r="265" ht="15.75" customHeight="1">
      <c r="K265" s="7"/>
    </row>
    <row r="266" ht="15.75" customHeight="1">
      <c r="K266" s="7"/>
    </row>
    <row r="267" ht="15.75" customHeight="1">
      <c r="K267" s="7"/>
    </row>
    <row r="268" ht="15.75" customHeight="1">
      <c r="K268" s="7"/>
    </row>
    <row r="269" ht="15.75" customHeight="1">
      <c r="K269" s="7"/>
    </row>
    <row r="270" ht="15.75" customHeight="1">
      <c r="K270" s="7"/>
    </row>
    <row r="271" ht="15.75" customHeight="1">
      <c r="K271" s="7"/>
    </row>
    <row r="272" ht="15.75" customHeight="1">
      <c r="K272" s="7"/>
    </row>
    <row r="273" ht="15.75" customHeight="1">
      <c r="K273" s="7"/>
    </row>
    <row r="274" ht="15.75" customHeight="1">
      <c r="K274" s="7"/>
    </row>
    <row r="275" ht="15.75" customHeight="1">
      <c r="K275" s="7"/>
    </row>
    <row r="276" ht="15.75" customHeight="1">
      <c r="K276" s="7"/>
    </row>
    <row r="277" ht="15.75" customHeight="1">
      <c r="K277" s="7"/>
    </row>
    <row r="278" ht="15.75" customHeight="1">
      <c r="K278" s="7"/>
    </row>
    <row r="279" ht="15.75" customHeight="1">
      <c r="K279" s="7"/>
    </row>
    <row r="280" ht="15.75" customHeight="1">
      <c r="K280" s="7"/>
    </row>
    <row r="281" ht="15.75" customHeight="1">
      <c r="K281" s="7"/>
    </row>
    <row r="282" ht="15.75" customHeight="1">
      <c r="K282" s="7"/>
    </row>
    <row r="283" ht="15.75" customHeight="1">
      <c r="K283" s="7"/>
    </row>
    <row r="284" ht="15.75" customHeight="1">
      <c r="K284" s="7"/>
    </row>
    <row r="285" ht="15.75" customHeight="1">
      <c r="K285" s="7"/>
    </row>
    <row r="286" ht="15.75" customHeight="1">
      <c r="K286" s="7"/>
    </row>
    <row r="287" ht="15.75" customHeight="1">
      <c r="K287" s="7"/>
    </row>
    <row r="288" ht="15.75" customHeight="1">
      <c r="K288" s="7"/>
    </row>
    <row r="289" ht="15.75" customHeight="1">
      <c r="K289" s="7"/>
    </row>
    <row r="290" ht="15.75" customHeight="1">
      <c r="K290" s="7"/>
    </row>
    <row r="291" ht="15.75" customHeight="1">
      <c r="K291" s="7"/>
    </row>
    <row r="292" ht="15.75" customHeight="1">
      <c r="K292" s="7"/>
    </row>
    <row r="293" ht="15.75" customHeight="1">
      <c r="K293" s="7"/>
    </row>
    <row r="294" ht="15.75" customHeight="1">
      <c r="K294" s="7"/>
    </row>
    <row r="295" ht="15.75" customHeight="1">
      <c r="K295" s="7"/>
    </row>
    <row r="296" ht="15.75" customHeight="1">
      <c r="K296" s="7"/>
    </row>
    <row r="297" ht="15.75" customHeight="1">
      <c r="K297" s="7"/>
    </row>
    <row r="298" ht="15.75" customHeight="1">
      <c r="K298" s="7"/>
    </row>
    <row r="299" ht="15.75" customHeight="1">
      <c r="K299" s="7"/>
    </row>
    <row r="300" ht="15.75" customHeight="1">
      <c r="K300" s="7"/>
    </row>
    <row r="301" ht="15.75" customHeight="1">
      <c r="K301" s="7"/>
    </row>
    <row r="302" ht="15.75" customHeight="1">
      <c r="K302" s="7"/>
    </row>
    <row r="303" ht="15.75" customHeight="1">
      <c r="K303" s="7"/>
    </row>
    <row r="304" ht="15.75" customHeight="1">
      <c r="K304" s="7"/>
    </row>
    <row r="305" ht="15.75" customHeight="1">
      <c r="K305" s="7"/>
    </row>
    <row r="306" ht="15.75" customHeight="1">
      <c r="K306" s="7"/>
    </row>
    <row r="307" ht="15.75" customHeight="1">
      <c r="K307" s="7"/>
    </row>
    <row r="308" ht="15.75" customHeight="1">
      <c r="K308" s="7"/>
    </row>
    <row r="309" ht="15.75" customHeight="1">
      <c r="K309" s="7"/>
    </row>
    <row r="310" ht="15.75" customHeight="1">
      <c r="K310" s="7"/>
    </row>
    <row r="311" ht="15.75" customHeight="1">
      <c r="K311" s="7"/>
    </row>
    <row r="312" ht="15.75" customHeight="1">
      <c r="K312" s="7"/>
    </row>
    <row r="313" ht="15.75" customHeight="1">
      <c r="K313" s="7"/>
    </row>
    <row r="314" ht="15.75" customHeight="1">
      <c r="K314" s="7"/>
    </row>
    <row r="315" ht="15.75" customHeight="1">
      <c r="K315" s="7"/>
    </row>
    <row r="316" ht="15.75" customHeight="1">
      <c r="K316" s="7"/>
    </row>
    <row r="317" ht="15.75" customHeight="1">
      <c r="K317" s="7"/>
    </row>
    <row r="318" ht="15.75" customHeight="1">
      <c r="K318" s="7"/>
    </row>
    <row r="319" ht="15.75" customHeight="1">
      <c r="K319" s="7"/>
    </row>
    <row r="320" ht="15.75" customHeight="1">
      <c r="K320" s="7"/>
    </row>
    <row r="321" ht="15.75" customHeight="1">
      <c r="K321" s="7"/>
    </row>
    <row r="322" ht="15.75" customHeight="1">
      <c r="K322" s="7"/>
    </row>
    <row r="323" ht="15.75" customHeight="1">
      <c r="K323" s="7"/>
    </row>
    <row r="324" ht="15.75" customHeight="1">
      <c r="K324" s="7"/>
    </row>
    <row r="325" ht="15.75" customHeight="1">
      <c r="K325" s="7"/>
    </row>
    <row r="326" ht="15.75" customHeight="1">
      <c r="K326" s="7"/>
    </row>
    <row r="327" ht="15.75" customHeight="1">
      <c r="K327" s="7"/>
    </row>
    <row r="328" ht="15.75" customHeight="1">
      <c r="K328" s="7"/>
    </row>
    <row r="329" ht="15.75" customHeight="1">
      <c r="K329" s="7"/>
    </row>
    <row r="330" ht="15.75" customHeight="1">
      <c r="K330" s="7"/>
    </row>
    <row r="331" ht="15.75" customHeight="1">
      <c r="K331" s="7"/>
    </row>
    <row r="332" ht="15.75" customHeight="1">
      <c r="K332" s="7"/>
    </row>
    <row r="333" ht="15.75" customHeight="1">
      <c r="K333" s="7"/>
    </row>
    <row r="334" ht="15.75" customHeight="1">
      <c r="K334" s="7"/>
    </row>
    <row r="335" ht="15.75" customHeight="1">
      <c r="K335" s="7"/>
    </row>
    <row r="336" ht="15.75" customHeight="1">
      <c r="K336" s="7"/>
    </row>
    <row r="337" ht="15.75" customHeight="1">
      <c r="K337" s="7"/>
    </row>
    <row r="338" ht="15.75" customHeight="1">
      <c r="K338" s="7"/>
    </row>
    <row r="339" ht="15.75" customHeight="1">
      <c r="K339" s="7"/>
    </row>
    <row r="340" ht="15.75" customHeight="1">
      <c r="K340" s="7"/>
    </row>
    <row r="341" ht="15.75" customHeight="1">
      <c r="K341" s="7"/>
    </row>
    <row r="342" ht="15.75" customHeight="1">
      <c r="K342" s="7"/>
    </row>
    <row r="343" ht="15.75" customHeight="1">
      <c r="K343" s="7"/>
    </row>
    <row r="344" ht="15.75" customHeight="1">
      <c r="K344" s="7"/>
    </row>
    <row r="345" ht="15.75" customHeight="1">
      <c r="K345" s="7"/>
    </row>
    <row r="346" ht="15.75" customHeight="1">
      <c r="K346" s="7"/>
    </row>
    <row r="347" ht="15.75" customHeight="1">
      <c r="K347" s="7"/>
    </row>
    <row r="348" ht="15.75" customHeight="1">
      <c r="K348" s="7"/>
    </row>
    <row r="349" ht="15.75" customHeight="1">
      <c r="K349" s="7"/>
    </row>
    <row r="350" ht="15.75" customHeight="1">
      <c r="K350" s="7"/>
    </row>
    <row r="351" ht="15.75" customHeight="1">
      <c r="K351" s="7"/>
    </row>
    <row r="352" ht="15.75" customHeight="1">
      <c r="K352" s="7"/>
    </row>
    <row r="353" ht="15.75" customHeight="1">
      <c r="K353" s="7"/>
    </row>
    <row r="354" ht="15.75" customHeight="1">
      <c r="K354" s="7"/>
    </row>
    <row r="355" ht="15.75" customHeight="1">
      <c r="K355" s="7"/>
    </row>
    <row r="356" ht="15.75" customHeight="1">
      <c r="K356" s="7"/>
    </row>
    <row r="357" ht="15.75" customHeight="1">
      <c r="K357" s="7"/>
    </row>
    <row r="358" ht="15.75" customHeight="1">
      <c r="K358" s="7"/>
    </row>
    <row r="359" ht="15.75" customHeight="1">
      <c r="K359" s="7"/>
    </row>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6:H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21" t="s">
        <v>190</v>
      </c>
    </row>
    <row r="3" ht="15.75" customHeight="1">
      <c r="A3" s="21" t="s">
        <v>191</v>
      </c>
    </row>
    <row r="4" ht="15.75" customHeight="1">
      <c r="A4" s="22" t="s">
        <v>192</v>
      </c>
    </row>
    <row r="5" ht="15.75" customHeight="1"/>
    <row r="6" ht="15.75" customHeight="1"/>
    <row r="7" ht="15.75" customHeight="1"/>
    <row r="8" ht="15.75" customHeight="1"/>
    <row r="9" ht="15.75" customHeight="1"/>
    <row r="10" ht="15.75" customHeight="1"/>
    <row r="11" ht="15.75" customHeight="1"/>
    <row r="12" ht="79.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F12"/>
  </mergeCells>
  <hyperlinks>
    <hyperlink r:id="rId1" ref="A2"/>
    <hyperlink r:id="rId2" ref="A3"/>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s>
  <sheetData>
    <row r="1" ht="15.75" customHeight="1">
      <c r="A1" s="23" t="s">
        <v>33</v>
      </c>
      <c r="B1" s="24" t="s">
        <v>193</v>
      </c>
      <c r="C1" s="25"/>
      <c r="D1" s="25"/>
      <c r="E1" s="25"/>
      <c r="F1" s="25"/>
      <c r="G1" s="25"/>
      <c r="H1" s="25"/>
      <c r="I1" s="25"/>
      <c r="J1" s="25"/>
      <c r="K1" s="25"/>
      <c r="L1" s="25"/>
      <c r="M1" s="25"/>
      <c r="N1" s="25"/>
      <c r="O1" s="25"/>
      <c r="P1" s="25"/>
    </row>
    <row r="2" ht="15.75" customHeight="1">
      <c r="A2" s="15" t="s">
        <v>37</v>
      </c>
      <c r="B2" s="26">
        <v>74.16666666666667</v>
      </c>
    </row>
    <row r="3" ht="15.75" customHeight="1">
      <c r="A3" s="15" t="s">
        <v>78</v>
      </c>
      <c r="B3" s="26">
        <v>65.71428571428572</v>
      </c>
    </row>
    <row r="4" ht="15.75" customHeight="1">
      <c r="A4" s="15" t="s">
        <v>39</v>
      </c>
      <c r="B4" s="26">
        <v>56.36363636363637</v>
      </c>
    </row>
    <row r="5" ht="15.75" customHeight="1">
      <c r="A5" s="15" t="s">
        <v>149</v>
      </c>
      <c r="B5" s="26">
        <v>54.61538461538461</v>
      </c>
    </row>
    <row r="6" ht="15.75" customHeight="1">
      <c r="A6" s="15" t="s">
        <v>157</v>
      </c>
      <c r="B6" s="26">
        <v>42.85714285714286</v>
      </c>
    </row>
    <row r="7" ht="15.75" customHeight="1">
      <c r="A7" s="15" t="s">
        <v>38</v>
      </c>
      <c r="B7" s="26">
        <v>35.833333333333336</v>
      </c>
    </row>
    <row r="8" ht="15.75" customHeight="1">
      <c r="A8" s="15" t="s">
        <v>95</v>
      </c>
      <c r="B8" s="26">
        <v>30.0</v>
      </c>
    </row>
    <row r="9" ht="15.75" customHeight="1">
      <c r="A9" s="15" t="s">
        <v>94</v>
      </c>
      <c r="B9" s="26">
        <v>26.31578947368421</v>
      </c>
    </row>
    <row r="10" ht="15.75" customHeight="1">
      <c r="A10" s="15" t="s">
        <v>74</v>
      </c>
      <c r="B10" s="26">
        <v>25.555555555555557</v>
      </c>
    </row>
    <row r="11" ht="15.75" customHeight="1">
      <c r="A11" s="15" t="s">
        <v>121</v>
      </c>
      <c r="B11" s="26">
        <v>25.555555555555557</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